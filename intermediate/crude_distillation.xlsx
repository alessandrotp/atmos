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49440" windowHeight="21840" tabRatio="600" firstSheet="0" activeTab="0" autoFilterDateGrouping="1"/>
  </bookViews>
  <sheets>
    <sheet name="crude_distillation" sheetId="1" state="visible" r:id="rId1"/>
  </sheets>
  <definedNames>
    <definedName name="_xlnm._FilterDatabase" localSheetId="0" hidden="1">'crude_distillation'!$A$1:$N$182</definedName>
  </definedNames>
  <calcPr calcId="19102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sz val="10"/>
    </font>
    <font>
      <name val="Arial"/>
      <b val="1"/>
      <color rgb="FFFFFFFF"/>
      <sz val="10"/>
    </font>
    <font>
      <name val="Arial"/>
      <b val="1"/>
      <color rgb="FFFFFFFF"/>
      <sz val="10"/>
    </font>
    <font>
      <name val="Arial"/>
      <b val="1"/>
      <color rgb="00FFFFFF"/>
      <sz val="10"/>
    </font>
  </fonts>
  <fills count="5">
    <fill>
      <patternFill/>
    </fill>
    <fill>
      <patternFill patternType="gray125"/>
    </fill>
    <fill>
      <patternFill patternType="solid">
        <fgColor rgb="FF1F4E78"/>
      </patternFill>
    </fill>
    <fill>
      <patternFill patternType="solid">
        <fgColor rgb="FF7F6000"/>
      </patternFill>
    </fill>
    <fill>
      <patternFill patternType="solid">
        <fgColor rgb="007F6000"/>
      </patternFill>
    </fill>
  </fills>
  <borders count="3">
    <border>
      <left/>
      <right/>
      <top/>
      <bottom/>
      <diagonal/>
    </border>
    <border>
      <left/>
      <right/>
      <top style="thin">
        <color rgb="FF808080"/>
      </top>
      <bottom/>
      <diagonal/>
    </border>
    <border>
      <top style="thin">
        <color rgb="00808080"/>
      </top>
    </border>
  </borders>
  <cellStyleXfs count="1">
    <xf numFmtId="0" fontId="0" fillId="0" borderId="0"/>
  </cellStyleXfs>
  <cellXfs count="22">
    <xf numFmtId="0" fontId="0" fillId="0" borderId="0" pivotButton="0" quotePrefix="0" xfId="0"/>
    <xf numFmtId="0" fontId="2" fillId="2" borderId="0" applyAlignment="1" pivotButton="0" quotePrefix="0" xfId="0">
      <alignment horizontal="center" vertical="center"/>
    </xf>
    <xf numFmtId="0" fontId="1" fillId="0" borderId="0" applyAlignment="1" pivotButton="0" quotePrefix="0" xfId="0">
      <alignment horizontal="center"/>
    </xf>
    <xf numFmtId="49" fontId="1" fillId="0" borderId="0" pivotButton="0" quotePrefix="0" xfId="0"/>
    <xf numFmtId="0" fontId="1" fillId="0" borderId="0" pivotButton="0" quotePrefix="0" xfId="0"/>
    <xf numFmtId="3" fontId="1" fillId="0" borderId="0" pivotButton="0" quotePrefix="0" xfId="0"/>
    <xf numFmtId="0" fontId="1" fillId="0" borderId="1" applyAlignment="1" pivotButton="0" quotePrefix="0" xfId="0">
      <alignment horizontal="center"/>
    </xf>
    <xf numFmtId="49" fontId="1" fillId="0" borderId="1" pivotButton="0" quotePrefix="0" xfId="0"/>
    <xf numFmtId="0" fontId="1" fillId="0" borderId="1" pivotButton="0" quotePrefix="0" xfId="0"/>
    <xf numFmtId="3" fontId="1" fillId="0" borderId="1" pivotButton="0" quotePrefix="0" xfId="0"/>
    <xf numFmtId="0" fontId="3" fillId="3" borderId="0" applyAlignment="1" pivotButton="0" quotePrefix="0" xfId="0">
      <alignment horizontal="center" vertical="center"/>
    </xf>
    <xf numFmtId="164" fontId="1" fillId="0" borderId="0" pivotButton="0" quotePrefix="0" xfId="0"/>
    <xf numFmtId="164" fontId="1" fillId="0" borderId="1" pivotButton="0" quotePrefix="0" xfId="0"/>
    <xf numFmtId="0" fontId="4" fillId="4" borderId="0" applyAlignment="1" pivotButton="0" quotePrefix="0" xfId="0">
      <alignment horizontal="center" vertical="center"/>
    </xf>
    <xf numFmtId="0" fontId="3" fillId="2" borderId="0" applyAlignment="1" pivotButton="0" quotePrefix="0" xfId="0">
      <alignment horizontal="center" vertical="center"/>
    </xf>
    <xf numFmtId="0" fontId="1" fillId="0" borderId="2" applyAlignment="1" pivotButton="0" quotePrefix="0" xfId="0">
      <alignment horizontal="center"/>
    </xf>
    <xf numFmtId="49" fontId="1" fillId="0" borderId="2" pivotButton="0" quotePrefix="0" xfId="0"/>
    <xf numFmtId="0" fontId="1" fillId="0" borderId="2" pivotButton="0" quotePrefix="0" xfId="0"/>
    <xf numFmtId="3" fontId="1" fillId="0" borderId="2" pivotButton="0" quotePrefix="0" xfId="0"/>
    <xf numFmtId="164" fontId="1" fillId="0" borderId="2" pivotButton="0" quotePrefix="0" xfId="0"/>
    <xf numFmtId="2" fontId="1" fillId="0" borderId="0" applyAlignment="1" pivotButton="0" quotePrefix="0" xfId="0">
      <alignment horizontal="center"/>
    </xf>
    <xf numFmtId="2" fontId="1" fillId="0" borderId="2" applyAlignment="1" pivotButton="0" quotePrefix="0" xfId="0">
      <alignment horizontal="center"/>
    </xf>
  </cellXfs>
  <cellStyles count="1">
    <cellStyle name="Normal" xfId="0" builtinId="0"/>
  </cellStyles>
  <dxfs count="4">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00FFC000"/>
          <b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Claude</author>
  </authors>
  <commentList>
    <comment ref="M1" authorId="0" shapeId="0">
      <text>
        <t>Share of the facility's crude requirement (column H) that this port covers. Ports are used closest first: each covers as much as it imports until the requirement is met, so the ports of a facility add up to 1. = MIN(port imports, requirement still missing) / requirement.</t>
      </text>
    </comment>
    <comment ref="N1" authorId="0" shapeId="0">
      <text>
        <t>Yes = this port is also listed for at least one other facility, so its imports are counted for more than one facility (double counting). Each port appears once per facility, so this counts the rows with the same port 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N182"/>
  <sheetViews>
    <sheetView tabSelected="1" workbookViewId="0">
      <pane ySplit="1" topLeftCell="A2" activePane="bottomLeft" state="frozen"/>
      <selection pane="bottomLeft" activeCell="A1" sqref="A1"/>
    </sheetView>
  </sheetViews>
  <sheetFormatPr baseColWidth="8" defaultRowHeight="15"/>
  <cols>
    <col width="17" customWidth="1" min="1" max="1"/>
    <col width="13" customWidth="1" min="2" max="2"/>
    <col width="44" customWidth="1" min="3" max="3"/>
    <col width="14" customWidth="1" min="4" max="4"/>
    <col width="9" customWidth="1" min="5" max="5"/>
    <col width="40" customWidth="1" min="6" max="6"/>
    <col width="28" customWidth="1" min="7" max="7"/>
    <col width="27" customWidth="1" min="8" max="8"/>
    <col width="9" customWidth="1" min="9" max="9"/>
    <col width="18" customWidth="1" min="10" max="10"/>
    <col width="28" customWidth="1" min="11" max="11"/>
    <col width="34" customWidth="1" min="12" max="12"/>
    <col width="33" customWidth="1" min="13" max="13"/>
    <col width="13" customWidth="1" min="14" max="14"/>
    <col width="11" customWidth="1" min="15" max="15"/>
    <col width="20" customWidth="1" min="16" max="16"/>
    <col width="30" customWidth="1" min="17" max="17"/>
    <col width="20" customWidth="1" min="18" max="18"/>
    <col width="30" customWidth="1" min="19" max="19"/>
    <col width="32" customWidth="1" min="20" max="20"/>
  </cols>
  <sheetData>
    <row r="1">
      <c r="A1" s="1" t="inlineStr">
        <is>
          <t>facility_number</t>
        </is>
      </c>
      <c r="B1" s="1" t="inlineStr">
        <is>
          <t>facility_id</t>
        </is>
      </c>
      <c r="C1" s="1" t="inlineStr">
        <is>
          <t>facility_name</t>
        </is>
      </c>
      <c r="D1" s="1" t="inlineStr">
        <is>
          <t>unit_id</t>
        </is>
      </c>
      <c r="E1" s="1" t="inlineStr">
        <is>
          <t>unit_name</t>
        </is>
      </c>
      <c r="F1" s="1" t="inlineStr">
        <is>
          <t>design_capacity_t_per_year</t>
        </is>
      </c>
      <c r="G1" s="1" t="inlineStr">
        <is>
          <t>actual_capacity_t_per_year</t>
        </is>
      </c>
      <c r="H1" s="14" t="inlineStr">
        <is>
          <t>crude_required_t_per_year</t>
        </is>
      </c>
      <c r="I1" s="13" t="inlineStr">
        <is>
          <t>port_id</t>
        </is>
      </c>
      <c r="J1" s="13" t="inlineStr">
        <is>
          <t>port_distance_km</t>
        </is>
      </c>
      <c r="K1" s="13" t="inlineStr">
        <is>
          <t>port_imported_crude_t_2025</t>
        </is>
      </c>
      <c r="L1" s="13" t="inlineStr">
        <is>
          <t>cumulative_imported_crude_t_2025</t>
        </is>
      </c>
      <c r="M1" s="13" t="inlineStr">
        <is>
          <t>fraction_of_requirement_covered</t>
        </is>
      </c>
      <c r="N1" s="13" t="inlineStr">
        <is>
          <t>shared_port</t>
        </is>
      </c>
    </row>
    <row r="2">
      <c r="A2" s="2" t="n">
        <v>1</v>
      </c>
      <c r="B2" s="3" t="inlineStr">
        <is>
          <t>047888e3</t>
        </is>
      </c>
      <c r="C2" s="4" t="inlineStr">
        <is>
          <t>Whitegate Refinery</t>
        </is>
      </c>
      <c r="D2" s="3" t="inlineStr">
        <is>
          <t>u_0003</t>
        </is>
      </c>
      <c r="E2" s="4" t="inlineStr">
        <is>
          <t>Crude</t>
        </is>
      </c>
      <c r="F2" s="5" t="n">
        <v>3737217</v>
      </c>
      <c r="G2" s="5">
        <f>F2*0.8</f>
        <v/>
      </c>
      <c r="H2" s="5">
        <f>SUM(G2:G2)</f>
        <v/>
      </c>
      <c r="I2" s="3" t="inlineStr">
        <is>
          <t>fe1f5479</t>
        </is>
      </c>
      <c r="J2" s="11" t="n">
        <v>1.8</v>
      </c>
      <c r="K2" s="5" t="n">
        <v>3011497</v>
      </c>
      <c r="L2" s="5">
        <f>SUM(K2:K2)</f>
        <v/>
      </c>
      <c r="M2" s="20">
        <f>MIN(K2,MAX(0,$H$2-(L2-K2)))/$H$2</f>
        <v/>
      </c>
      <c r="N2" s="2">
        <f>IF(COUNTIF($I$2:$I$182,I2)&gt;1,"Yes","No")</f>
        <v/>
      </c>
    </row>
    <row r="3">
      <c r="A3" s="15" t="n">
        <v>2</v>
      </c>
      <c r="B3" s="16" t="inlineStr">
        <is>
          <t>06f2fa25</t>
        </is>
      </c>
      <c r="C3" s="17" t="inlineStr">
        <is>
          <t>Petromidia Refinery</t>
        </is>
      </c>
      <c r="D3" s="16" t="inlineStr">
        <is>
          <t>u_0004</t>
        </is>
      </c>
      <c r="E3" s="17" t="inlineStr">
        <is>
          <t>Atmospheric Distillation (DA)</t>
        </is>
      </c>
      <c r="F3" s="18" t="n">
        <v>5232104</v>
      </c>
      <c r="G3" s="18">
        <f>F3*0.8</f>
        <v/>
      </c>
      <c r="H3" s="18">
        <f>SUM(G3:G3)</f>
        <v/>
      </c>
      <c r="I3" s="16" t="inlineStr">
        <is>
          <t>65d622bd</t>
        </is>
      </c>
      <c r="J3" s="19" t="n">
        <v>4.3</v>
      </c>
      <c r="K3" s="18" t="n">
        <v>5666538</v>
      </c>
      <c r="L3" s="18">
        <f>SUM(K3:K3)</f>
        <v/>
      </c>
      <c r="M3" s="21">
        <f>MIN(K3,MAX(0,$H$3-(L3-K3)))/$H$3</f>
        <v/>
      </c>
      <c r="N3" s="15">
        <f>IF(COUNTIF($I$2:$I$182,I3)&gt;1,"Yes","No")</f>
        <v/>
      </c>
    </row>
    <row r="4">
      <c r="A4" s="15" t="n">
        <v>3</v>
      </c>
      <c r="B4" s="16" t="inlineStr">
        <is>
          <t>08ffe6d2</t>
        </is>
      </c>
      <c r="C4" s="17" t="inlineStr">
        <is>
          <t>Fredericia Refinery</t>
        </is>
      </c>
      <c r="D4" s="16" t="inlineStr">
        <is>
          <t>u_0005</t>
        </is>
      </c>
      <c r="E4" s="17" t="inlineStr">
        <is>
          <t>Crude</t>
        </is>
      </c>
      <c r="F4" s="18" t="n">
        <v>3737217</v>
      </c>
      <c r="G4" s="18">
        <f>F4*0.8</f>
        <v/>
      </c>
      <c r="H4" s="18">
        <f>SUM(G4:G4)</f>
        <v/>
      </c>
      <c r="I4" s="16" t="inlineStr">
        <is>
          <t>7e8542d1</t>
        </is>
      </c>
      <c r="J4" s="19" t="n">
        <v>3.9</v>
      </c>
      <c r="K4" s="18" t="n">
        <v>1216447</v>
      </c>
      <c r="L4" s="18">
        <f>SUM(K4:K4)</f>
        <v/>
      </c>
      <c r="M4" s="21">
        <f>MIN(K4,MAX(0,$H$4-(L4-K4)))/$H$4</f>
        <v/>
      </c>
      <c r="N4" s="15">
        <f>IF(COUNTIF($I$2:$I$182,I4)&gt;1,"Yes","No")</f>
        <v/>
      </c>
    </row>
    <row r="5">
      <c r="A5" s="2" t="n"/>
      <c r="B5" s="3" t="inlineStr">
        <is>
          <t>08ffe6d2</t>
        </is>
      </c>
      <c r="C5" s="4" t="inlineStr">
        <is>
          <t>Fredericia Refinery</t>
        </is>
      </c>
      <c r="D5" s="3" t="n"/>
      <c r="E5" s="4" t="n"/>
      <c r="F5" s="5" t="n"/>
      <c r="G5" s="5" t="n"/>
      <c r="H5" s="5" t="n"/>
      <c r="I5" s="3" t="inlineStr">
        <is>
          <t>ac64c327</t>
        </is>
      </c>
      <c r="J5" s="11" t="n">
        <v>84.7</v>
      </c>
      <c r="K5" s="5" t="n">
        <v>4081878</v>
      </c>
      <c r="L5" s="5">
        <f>SUM(K4:K5)</f>
        <v/>
      </c>
      <c r="M5" s="20">
        <f>MIN(K5,MAX(0,$H$4-(L5-K5)))/$H$4</f>
        <v/>
      </c>
      <c r="N5" s="2">
        <f>IF(COUNTIF($I$2:$I$182,I5)&gt;1,"Yes","No")</f>
        <v/>
      </c>
    </row>
    <row r="6">
      <c r="A6" s="15" t="n">
        <v>4</v>
      </c>
      <c r="B6" s="16" t="inlineStr">
        <is>
          <t>0943f240</t>
        </is>
      </c>
      <c r="C6" s="17" t="inlineStr">
        <is>
          <t>Lukoil Neftochim Burgas Refinery</t>
        </is>
      </c>
      <c r="D6" s="16" t="inlineStr">
        <is>
          <t>u_0006</t>
        </is>
      </c>
      <c r="E6" s="17" t="inlineStr">
        <is>
          <t>AD 2 (Atmospheric Distillation)</t>
        </is>
      </c>
      <c r="F6" s="18" t="n">
        <v>1504853</v>
      </c>
      <c r="G6" s="18">
        <f>F6*0.8</f>
        <v/>
      </c>
      <c r="H6" s="18">
        <f>SUM(G6:G9)</f>
        <v/>
      </c>
      <c r="I6" s="16" t="inlineStr">
        <is>
          <t>d0fe845d</t>
        </is>
      </c>
      <c r="J6" s="19" t="n">
        <v>14.7</v>
      </c>
      <c r="K6" s="18" t="n">
        <v>52255</v>
      </c>
      <c r="L6" s="18">
        <f>SUM(K6:K6)</f>
        <v/>
      </c>
      <c r="M6" s="21">
        <f>MIN(K6,MAX(0,$H$6-(L6-K6)))/$H$6</f>
        <v/>
      </c>
      <c r="N6" s="15">
        <f>IF(COUNTIF($I$2:$I$182,I6)&gt;1,"Yes","No")</f>
        <v/>
      </c>
    </row>
    <row r="7">
      <c r="A7" s="2" t="n"/>
      <c r="B7" s="3" t="inlineStr">
        <is>
          <t>0943f240</t>
        </is>
      </c>
      <c r="C7" s="4" t="inlineStr">
        <is>
          <t>Lukoil Neftochim Burgas Refinery</t>
        </is>
      </c>
      <c r="D7" s="3" t="inlineStr">
        <is>
          <t>u_0007</t>
        </is>
      </c>
      <c r="E7" s="4" t="inlineStr">
        <is>
          <t>AD 3 (Atmospheric Distillation)</t>
        </is>
      </c>
      <c r="F7" s="5" t="n">
        <v>2057961</v>
      </c>
      <c r="G7" s="5">
        <f>F7*0.8</f>
        <v/>
      </c>
      <c r="H7" s="5" t="n"/>
      <c r="I7" s="3" t="inlineStr">
        <is>
          <t>1e7daa53</t>
        </is>
      </c>
      <c r="J7" s="11" t="n">
        <v>19.2</v>
      </c>
      <c r="K7" s="5" t="n">
        <v>4466332</v>
      </c>
      <c r="L7" s="5">
        <f>SUM(K6:K7)</f>
        <v/>
      </c>
      <c r="M7" s="20">
        <f>MIN(K7,MAX(0,$H$6-(L7-K7)))/$H$6</f>
        <v/>
      </c>
      <c r="N7" s="2">
        <f>IF(COUNTIF($I$2:$I$182,I7)&gt;1,"Yes","No")</f>
        <v/>
      </c>
    </row>
    <row r="8">
      <c r="A8" s="2" t="n"/>
      <c r="B8" s="3" t="inlineStr">
        <is>
          <t>0943f240</t>
        </is>
      </c>
      <c r="C8" s="4" t="inlineStr">
        <is>
          <t>Lukoil Neftochim Burgas Refinery</t>
        </is>
      </c>
      <c r="D8" s="3" t="inlineStr">
        <is>
          <t>u_0008</t>
        </is>
      </c>
      <c r="E8" s="4" t="inlineStr">
        <is>
          <t>AD 4 (Atmospheric Distillation)</t>
        </is>
      </c>
      <c r="F8" s="5" t="n">
        <v>2989774</v>
      </c>
      <c r="G8" s="5">
        <f>F8*0.8</f>
        <v/>
      </c>
      <c r="H8" s="5" t="n"/>
      <c r="I8" s="3" t="inlineStr">
        <is>
          <t>af5c2042</t>
        </is>
      </c>
      <c r="J8" s="11" t="n">
        <v>180.8</v>
      </c>
      <c r="K8" s="5" t="n">
        <v>102241</v>
      </c>
      <c r="L8" s="5">
        <f>SUM(K6:K8)</f>
        <v/>
      </c>
      <c r="M8" s="20">
        <f>MIN(K8,MAX(0,$H$6-(L8-K8)))/$H$6</f>
        <v/>
      </c>
      <c r="N8" s="2">
        <f>IF(COUNTIF($I$2:$I$182,I8)&gt;1,"Yes","No")</f>
        <v/>
      </c>
    </row>
    <row r="9">
      <c r="A9" s="2" t="n"/>
      <c r="B9" s="3" t="inlineStr">
        <is>
          <t>0943f240</t>
        </is>
      </c>
      <c r="C9" s="4" t="inlineStr">
        <is>
          <t>Lukoil Neftochim Burgas Refinery</t>
        </is>
      </c>
      <c r="D9" s="3" t="inlineStr">
        <is>
          <t>u_0009</t>
        </is>
      </c>
      <c r="E9" s="4" t="inlineStr">
        <is>
          <t>AD 5 (Atmospheric Distillation)</t>
        </is>
      </c>
      <c r="F9" s="5" t="n">
        <v>2989774</v>
      </c>
      <c r="G9" s="5">
        <f>F9*0.8</f>
        <v/>
      </c>
      <c r="H9" s="5" t="n"/>
      <c r="I9" s="3" t="inlineStr">
        <is>
          <t>de5ae086</t>
        </is>
      </c>
      <c r="J9" s="11" t="n">
        <v>205.5</v>
      </c>
      <c r="K9" s="5" t="n">
        <v>3610804</v>
      </c>
      <c r="L9" s="5">
        <f>SUM(K6:K9)</f>
        <v/>
      </c>
      <c r="M9" s="20">
        <f>MIN(K9,MAX(0,$H$6-(L9-K9)))/$H$6</f>
        <v/>
      </c>
      <c r="N9" s="2">
        <f>IF(COUNTIF($I$2:$I$182,I9)&gt;1,"Yes","No")</f>
        <v/>
      </c>
    </row>
    <row r="10">
      <c r="A10" s="15" t="n">
        <v>5</v>
      </c>
      <c r="B10" s="16" t="inlineStr">
        <is>
          <t>0a8165e3</t>
        </is>
      </c>
      <c r="C10" s="17" t="inlineStr">
        <is>
          <t>Cressier Refinery</t>
        </is>
      </c>
      <c r="D10" s="16" t="inlineStr">
        <is>
          <t>u_0012</t>
        </is>
      </c>
      <c r="E10" s="17" t="inlineStr">
        <is>
          <t>DA (Atmospheric Distillation)</t>
        </is>
      </c>
      <c r="F10" s="18" t="n">
        <v>3388410</v>
      </c>
      <c r="G10" s="18">
        <f>F10*0.8</f>
        <v/>
      </c>
      <c r="H10" s="18">
        <f>SUM(G10:G10)</f>
        <v/>
      </c>
      <c r="I10" s="16" t="inlineStr">
        <is>
          <t>ab338597</t>
        </is>
      </c>
      <c r="J10" s="19" t="n">
        <v>325.6</v>
      </c>
      <c r="K10" s="18" t="n">
        <v>7690096</v>
      </c>
      <c r="L10" s="18">
        <f>SUM(K10:K10)</f>
        <v/>
      </c>
      <c r="M10" s="21">
        <f>MIN(K10,MAX(0,$H$10-(L10-K10)))/$H$10</f>
        <v/>
      </c>
      <c r="N10" s="15">
        <f>IF(COUNTIF($I$2:$I$182,I10)&gt;1,"Yes","No")</f>
        <v/>
      </c>
    </row>
    <row r="11">
      <c r="A11" s="15" t="n">
        <v>6</v>
      </c>
      <c r="B11" s="16" t="inlineStr">
        <is>
          <t>0dc94d4c</t>
        </is>
      </c>
      <c r="C11" s="17" t="inlineStr">
        <is>
          <t>Preemraff Lysekil Refinery</t>
        </is>
      </c>
      <c r="D11" s="16" t="inlineStr">
        <is>
          <t>u_0017</t>
        </is>
      </c>
      <c r="E11" s="17" t="inlineStr">
        <is>
          <t>Crude Distillation Unit (210)</t>
        </is>
      </c>
      <c r="F11" s="18" t="n">
        <v>10962503</v>
      </c>
      <c r="G11" s="18">
        <f>F11*0.8</f>
        <v/>
      </c>
      <c r="H11" s="18">
        <f>SUM(G11:G11)</f>
        <v/>
      </c>
      <c r="I11" s="16" t="inlineStr">
        <is>
          <t>87da84dc</t>
        </is>
      </c>
      <c r="J11" s="19" t="n">
        <v>1.1</v>
      </c>
      <c r="K11" s="18" t="n">
        <v>7211193</v>
      </c>
      <c r="L11" s="18">
        <f>SUM(K11:K11)</f>
        <v/>
      </c>
      <c r="M11" s="21">
        <f>MIN(K11,MAX(0,$H$11-(L11-K11)))/$H$11</f>
        <v/>
      </c>
      <c r="N11" s="15">
        <f>IF(COUNTIF($I$2:$I$182,I11)&gt;1,"Yes","No")</f>
        <v/>
      </c>
    </row>
    <row r="12">
      <c r="A12" s="2" t="n"/>
      <c r="B12" s="3" t="inlineStr">
        <is>
          <t>0dc94d4c</t>
        </is>
      </c>
      <c r="C12" s="4" t="inlineStr">
        <is>
          <t>Preemraff Lysekil Refinery</t>
        </is>
      </c>
      <c r="D12" s="3" t="n"/>
      <c r="E12" s="4" t="n"/>
      <c r="F12" s="5" t="n"/>
      <c r="G12" s="5" t="n"/>
      <c r="H12" s="5" t="n"/>
      <c r="I12" s="3" t="inlineStr">
        <is>
          <t>5002acae</t>
        </is>
      </c>
      <c r="J12" s="11" t="n">
        <v>77.3</v>
      </c>
      <c r="K12" s="5" t="n">
        <v>8329977</v>
      </c>
      <c r="L12" s="5">
        <f>SUM(K11:K12)</f>
        <v/>
      </c>
      <c r="M12" s="20">
        <f>MIN(K12,MAX(0,$H$11-(L12-K12)))/$H$11</f>
        <v/>
      </c>
      <c r="N12" s="2">
        <f>IF(COUNTIF($I$2:$I$182,I12)&gt;1,"Yes","No")</f>
        <v/>
      </c>
    </row>
    <row r="13">
      <c r="A13" s="15" t="n">
        <v>7</v>
      </c>
      <c r="B13" s="16" t="inlineStr">
        <is>
          <t>0edae41d</t>
        </is>
      </c>
      <c r="C13" s="17" t="inlineStr">
        <is>
          <t>Porvoo Refinery</t>
        </is>
      </c>
      <c r="D13" s="16" t="inlineStr">
        <is>
          <t>u_0019</t>
        </is>
      </c>
      <c r="E13" s="17" t="inlineStr">
        <is>
          <t>Atmospheric Crude Distillation</t>
        </is>
      </c>
      <c r="F13" s="18" t="n">
        <v>10264889</v>
      </c>
      <c r="G13" s="18">
        <f>F13*0.8</f>
        <v/>
      </c>
      <c r="H13" s="18">
        <f>SUM(G13:G13)</f>
        <v/>
      </c>
      <c r="I13" s="16" t="inlineStr">
        <is>
          <t>263da640</t>
        </is>
      </c>
      <c r="J13" s="19" t="n">
        <v>1.6</v>
      </c>
      <c r="K13" s="18" t="n">
        <v>9595132</v>
      </c>
      <c r="L13" s="18">
        <f>SUM(K13:K13)</f>
        <v/>
      </c>
      <c r="M13" s="21">
        <f>MIN(K13,MAX(0,$H$13-(L13-K13)))/$H$13</f>
        <v/>
      </c>
      <c r="N13" s="15">
        <f>IF(COUNTIF($I$2:$I$182,I13)&gt;1,"Yes","No")</f>
        <v/>
      </c>
    </row>
    <row r="14">
      <c r="A14" s="15" t="n">
        <v>8</v>
      </c>
      <c r="B14" s="16" t="inlineStr">
        <is>
          <t>1288c44b</t>
        </is>
      </c>
      <c r="C14" s="17" t="inlineStr">
        <is>
          <t>Taranto Refinery</t>
        </is>
      </c>
      <c r="D14" s="16" t="inlineStr">
        <is>
          <t>u_0021</t>
        </is>
      </c>
      <c r="E14" s="17" t="inlineStr">
        <is>
          <t>CDU (U100)</t>
        </is>
      </c>
      <c r="F14" s="18" t="n">
        <v>6477843</v>
      </c>
      <c r="G14" s="18">
        <f>F14*0.8</f>
        <v/>
      </c>
      <c r="H14" s="18">
        <f>SUM(G14:G14)</f>
        <v/>
      </c>
      <c r="I14" s="16" t="inlineStr">
        <is>
          <t>b5853929</t>
        </is>
      </c>
      <c r="J14" s="19" t="n">
        <v>3.4</v>
      </c>
      <c r="K14" s="18" t="n">
        <v>1262207</v>
      </c>
      <c r="L14" s="18">
        <f>SUM(K14:K14)</f>
        <v/>
      </c>
      <c r="M14" s="21">
        <f>MIN(K14,MAX(0,$H$14-(L14-K14)))/$H$14</f>
        <v/>
      </c>
      <c r="N14" s="15">
        <f>IF(COUNTIF($I$2:$I$182,I14)&gt;1,"Yes","No")</f>
        <v/>
      </c>
    </row>
    <row r="15">
      <c r="A15" s="2" t="n"/>
      <c r="B15" s="3" t="inlineStr">
        <is>
          <t>1288c44b</t>
        </is>
      </c>
      <c r="C15" s="4" t="inlineStr">
        <is>
          <t>Taranto Refinery</t>
        </is>
      </c>
      <c r="D15" s="3" t="n"/>
      <c r="E15" s="4" t="n"/>
      <c r="F15" s="5" t="n"/>
      <c r="G15" s="5" t="n"/>
      <c r="H15" s="5" t="n"/>
      <c r="I15" s="3" t="inlineStr">
        <is>
          <t>47e82818</t>
        </is>
      </c>
      <c r="J15" s="11" t="n">
        <v>302.7</v>
      </c>
      <c r="K15" s="5" t="n">
        <v>10737169</v>
      </c>
      <c r="L15" s="5">
        <f>SUM(K14:K15)</f>
        <v/>
      </c>
      <c r="M15" s="20">
        <f>MIN(K15,MAX(0,$H$14-(L15-K15)))/$H$14</f>
        <v/>
      </c>
      <c r="N15" s="2">
        <f>IF(COUNTIF($I$2:$I$182,I15)&gt;1,"Yes","No")</f>
        <v/>
      </c>
    </row>
    <row r="16">
      <c r="A16" s="15" t="n">
        <v>9</v>
      </c>
      <c r="B16" s="16" t="inlineStr">
        <is>
          <t>141dc4d9</t>
        </is>
      </c>
      <c r="C16" s="17" t="inlineStr">
        <is>
          <t>Holborn Refinery</t>
        </is>
      </c>
      <c r="D16" s="16" t="inlineStr">
        <is>
          <t>u_0023</t>
        </is>
      </c>
      <c r="E16" s="17" t="inlineStr">
        <is>
          <t>Crude Distillation</t>
        </is>
      </c>
      <c r="F16" s="18" t="n">
        <v>4982956</v>
      </c>
      <c r="G16" s="18">
        <f>F16*0.8</f>
        <v/>
      </c>
      <c r="H16" s="18">
        <f>SUM(G16:G16)</f>
        <v/>
      </c>
      <c r="I16" s="16" t="inlineStr">
        <is>
          <t>9c25973d</t>
        </is>
      </c>
      <c r="J16" s="19" t="n">
        <v>4.8</v>
      </c>
      <c r="K16" s="18" t="n">
        <v>10745</v>
      </c>
      <c r="L16" s="18">
        <f>SUM(K16:K16)</f>
        <v/>
      </c>
      <c r="M16" s="21">
        <f>MIN(K16,MAX(0,$H$16-(L16-K16)))/$H$16</f>
        <v/>
      </c>
      <c r="N16" s="15">
        <f>IF(COUNTIF($I$2:$I$182,I16)&gt;1,"Yes","No")</f>
        <v/>
      </c>
    </row>
    <row r="17">
      <c r="A17" s="2" t="n"/>
      <c r="B17" s="3" t="inlineStr">
        <is>
          <t>141dc4d9</t>
        </is>
      </c>
      <c r="C17" s="4" t="inlineStr">
        <is>
          <t>Holborn Refinery</t>
        </is>
      </c>
      <c r="D17" s="3" t="n"/>
      <c r="E17" s="4" t="n"/>
      <c r="F17" s="5" t="n"/>
      <c r="G17" s="5" t="n"/>
      <c r="H17" s="5" t="n"/>
      <c r="I17" s="3" t="inlineStr">
        <is>
          <t>1cd9103c</t>
        </is>
      </c>
      <c r="J17" s="11" t="n">
        <v>69.8</v>
      </c>
      <c r="K17" s="5" t="n">
        <v>2827210</v>
      </c>
      <c r="L17" s="5">
        <f>SUM(K16:K17)</f>
        <v/>
      </c>
      <c r="M17" s="20">
        <f>MIN(K17,MAX(0,$H$16-(L17-K17)))/$H$16</f>
        <v/>
      </c>
      <c r="N17" s="2">
        <f>IF(COUNTIF($I$2:$I$182,I17)&gt;1,"Yes","No")</f>
        <v/>
      </c>
    </row>
    <row r="18">
      <c r="A18" s="2" t="n"/>
      <c r="B18" s="3" t="inlineStr">
        <is>
          <t>141dc4d9</t>
        </is>
      </c>
      <c r="C18" s="4" t="inlineStr">
        <is>
          <t>Holborn Refinery</t>
        </is>
      </c>
      <c r="D18" s="3" t="n"/>
      <c r="E18" s="4" t="n"/>
      <c r="F18" s="5" t="n"/>
      <c r="G18" s="5" t="n"/>
      <c r="H18" s="5" t="n"/>
      <c r="I18" s="3" t="inlineStr">
        <is>
          <t>19240ddd</t>
        </is>
      </c>
      <c r="J18" s="11" t="n">
        <v>119.6</v>
      </c>
      <c r="K18" s="5" t="n">
        <v>15460532</v>
      </c>
      <c r="L18" s="5">
        <f>SUM(K16:K18)</f>
        <v/>
      </c>
      <c r="M18" s="20">
        <f>MIN(K18,MAX(0,$H$16-(L18-K18)))/$H$16</f>
        <v/>
      </c>
      <c r="N18" s="2">
        <f>IF(COUNTIF($I$2:$I$182,I18)&gt;1,"Yes","No")</f>
        <v/>
      </c>
    </row>
    <row r="19">
      <c r="A19" s="15" t="n">
        <v>10</v>
      </c>
      <c r="B19" s="16" t="inlineStr">
        <is>
          <t>159fda82</t>
        </is>
      </c>
      <c r="C19" s="17" t="inlineStr">
        <is>
          <t>Bilbao Refinery</t>
        </is>
      </c>
      <c r="D19" s="16" t="inlineStr">
        <is>
          <t>u_0027</t>
        </is>
      </c>
      <c r="E19" s="17" t="inlineStr">
        <is>
          <t>Crude 1</t>
        </is>
      </c>
      <c r="F19" s="18" t="n">
        <v>6477843</v>
      </c>
      <c r="G19" s="18">
        <f>F19*0.8</f>
        <v/>
      </c>
      <c r="H19" s="18">
        <f>SUM(G19:G20)</f>
        <v/>
      </c>
      <c r="I19" s="16" t="inlineStr">
        <is>
          <t>b7fea969</t>
        </is>
      </c>
      <c r="J19" s="19" t="n">
        <v>5.1</v>
      </c>
      <c r="K19" s="18" t="n">
        <v>8372381</v>
      </c>
      <c r="L19" s="18">
        <f>SUM(K19:K19)</f>
        <v/>
      </c>
      <c r="M19" s="21">
        <f>MIN(K19,MAX(0,$H$19-(L19-K19)))/$H$19</f>
        <v/>
      </c>
      <c r="N19" s="15">
        <f>IF(COUNTIF($I$2:$I$182,I19)&gt;1,"Yes","No")</f>
        <v/>
      </c>
    </row>
    <row r="20">
      <c r="A20" s="2" t="n"/>
      <c r="B20" s="3" t="inlineStr">
        <is>
          <t>159fda82</t>
        </is>
      </c>
      <c r="C20" s="4" t="inlineStr">
        <is>
          <t>Bilbao Refinery</t>
        </is>
      </c>
      <c r="D20" s="3" t="inlineStr">
        <is>
          <t>u_0028</t>
        </is>
      </c>
      <c r="E20" s="4" t="inlineStr">
        <is>
          <t>Crude 2</t>
        </is>
      </c>
      <c r="F20" s="5" t="n">
        <v>4484660</v>
      </c>
      <c r="G20" s="5">
        <f>F20*0.8</f>
        <v/>
      </c>
      <c r="H20" s="5" t="n"/>
      <c r="I20" s="3" t="inlineStr">
        <is>
          <t>36c4ccef</t>
        </is>
      </c>
      <c r="J20" s="11" t="n">
        <v>416</v>
      </c>
      <c r="K20" s="5" t="n">
        <v>3646</v>
      </c>
      <c r="L20" s="5">
        <f>SUM(K19:K20)</f>
        <v/>
      </c>
      <c r="M20" s="20">
        <f>MIN(K20,MAX(0,$H$19-(L20-K20)))/$H$19</f>
        <v/>
      </c>
      <c r="N20" s="2">
        <f>IF(COUNTIF($I$2:$I$182,I20)&gt;1,"Yes","No")</f>
        <v/>
      </c>
    </row>
    <row r="21">
      <c r="A21" s="2" t="n"/>
      <c r="B21" s="3" t="inlineStr">
        <is>
          <t>159fda82</t>
        </is>
      </c>
      <c r="C21" s="4" t="inlineStr">
        <is>
          <t>Bilbao Refinery</t>
        </is>
      </c>
      <c r="D21" s="3" t="n"/>
      <c r="E21" s="4" t="n"/>
      <c r="F21" s="5" t="n"/>
      <c r="G21" s="5" t="n"/>
      <c r="H21" s="5" t="n"/>
      <c r="I21" s="3" t="inlineStr">
        <is>
          <t>af489593</t>
        </is>
      </c>
      <c r="J21" s="11" t="n">
        <v>430.7</v>
      </c>
      <c r="K21" s="5" t="n">
        <v>5704599</v>
      </c>
      <c r="L21" s="5">
        <f>SUM(K19:K21)</f>
        <v/>
      </c>
      <c r="M21" s="20">
        <f>MIN(K21,MAX(0,$H$19-(L21-K21)))/$H$19</f>
        <v/>
      </c>
      <c r="N21" s="2">
        <f>IF(COUNTIF($I$2:$I$182,I21)&gt;1,"Yes","No")</f>
        <v/>
      </c>
    </row>
    <row r="22">
      <c r="A22" s="15" t="n">
        <v>11</v>
      </c>
      <c r="B22" s="16" t="inlineStr">
        <is>
          <t>176640e9</t>
        </is>
      </c>
      <c r="C22" s="17" t="inlineStr">
        <is>
          <t>Donges Refinery</t>
        </is>
      </c>
      <c r="D22" s="16" t="inlineStr">
        <is>
          <t>u_0030</t>
        </is>
      </c>
      <c r="E22" s="17" t="inlineStr">
        <is>
          <t>DA (D2E) (Atmospheric Distillation)</t>
        </is>
      </c>
      <c r="F22" s="18" t="n">
        <v>11460799</v>
      </c>
      <c r="G22" s="18">
        <f>F22*0.8</f>
        <v/>
      </c>
      <c r="H22" s="18">
        <f>SUM(G22:G22)</f>
        <v/>
      </c>
      <c r="I22" s="16" t="inlineStr">
        <is>
          <t>d79eb2e2</t>
        </is>
      </c>
      <c r="J22" s="19" t="n">
        <v>395.9</v>
      </c>
      <c r="K22" s="18" t="n">
        <v>10836149</v>
      </c>
      <c r="L22" s="18">
        <f>SUM(K22:K22)</f>
        <v/>
      </c>
      <c r="M22" s="21">
        <f>MIN(K22,MAX(0,$H$22-(L22-K22)))/$H$22</f>
        <v/>
      </c>
      <c r="N22" s="15">
        <f>IF(COUNTIF($I$2:$I$182,I22)&gt;1,"Yes","No")</f>
        <v/>
      </c>
    </row>
    <row r="23">
      <c r="A23" s="15" t="n">
        <v>12</v>
      </c>
      <c r="B23" s="16" t="inlineStr">
        <is>
          <t>18962161</t>
        </is>
      </c>
      <c r="C23" s="17" t="inlineStr">
        <is>
          <t>Sines Refinery</t>
        </is>
      </c>
      <c r="D23" s="16" t="inlineStr">
        <is>
          <t>u_0031</t>
        </is>
      </c>
      <c r="E23" s="17" t="inlineStr">
        <is>
          <t>Atmospheric Distillation</t>
        </is>
      </c>
      <c r="F23" s="18" t="n">
        <v>11211651</v>
      </c>
      <c r="G23" s="18">
        <f>F23*0.8</f>
        <v/>
      </c>
      <c r="H23" s="18">
        <f>SUM(G23:G23)</f>
        <v/>
      </c>
      <c r="I23" s="16" t="inlineStr">
        <is>
          <t>50d7a92b</t>
        </is>
      </c>
      <c r="J23" s="19" t="n">
        <v>5.5</v>
      </c>
      <c r="K23" s="18" t="n">
        <v>9075265</v>
      </c>
      <c r="L23" s="18">
        <f>SUM(K23:K23)</f>
        <v/>
      </c>
      <c r="M23" s="21">
        <f>MIN(K23,MAX(0,$H$23-(L23-K23)))/$H$23</f>
        <v/>
      </c>
      <c r="N23" s="15">
        <f>IF(COUNTIF($I$2:$I$182,I23)&gt;1,"Yes","No")</f>
        <v/>
      </c>
    </row>
    <row r="24">
      <c r="A24" s="15" t="n">
        <v>13</v>
      </c>
      <c r="B24" s="16" t="inlineStr">
        <is>
          <t>19564e64</t>
        </is>
      </c>
      <c r="C24" s="17" t="inlineStr">
        <is>
          <t>Puertollano Refinery</t>
        </is>
      </c>
      <c r="D24" s="16" t="inlineStr">
        <is>
          <t>u_0033</t>
        </is>
      </c>
      <c r="E24" s="17" t="inlineStr">
        <is>
          <t>Crude 1 (U-601)</t>
        </is>
      </c>
      <c r="F24" s="18" t="n">
        <v>3009705</v>
      </c>
      <c r="G24" s="18">
        <f>F24*0.8</f>
        <v/>
      </c>
      <c r="H24" s="18">
        <f>SUM(G24:G25)</f>
        <v/>
      </c>
      <c r="I24" s="16" t="inlineStr">
        <is>
          <t>cb0703b0</t>
        </is>
      </c>
      <c r="J24" s="19" t="n">
        <v>296.9</v>
      </c>
      <c r="K24" s="18" t="n">
        <v>14003507</v>
      </c>
      <c r="L24" s="18">
        <f>SUM(K24:K24)</f>
        <v/>
      </c>
      <c r="M24" s="21">
        <f>MIN(K24,MAX(0,$H$24-(L24-K24)))/$H$24</f>
        <v/>
      </c>
      <c r="N24" s="15">
        <f>IF(COUNTIF($I$2:$I$182,I24)&gt;1,"Yes","No")</f>
        <v/>
      </c>
    </row>
    <row r="25">
      <c r="A25" s="2" t="n"/>
      <c r="B25" s="3" t="inlineStr">
        <is>
          <t>19564e64</t>
        </is>
      </c>
      <c r="C25" s="4" t="inlineStr">
        <is>
          <t>Puertollano Refinery</t>
        </is>
      </c>
      <c r="D25" s="3" t="inlineStr">
        <is>
          <t>u_0034</t>
        </is>
      </c>
      <c r="E25" s="4" t="inlineStr">
        <is>
          <t>Crude 2 (U-602)</t>
        </is>
      </c>
      <c r="F25" s="5" t="n">
        <v>5266985</v>
      </c>
      <c r="G25" s="5">
        <f>F25*0.8</f>
        <v/>
      </c>
      <c r="H25" s="5" t="n"/>
      <c r="I25" s="3" t="n"/>
      <c r="J25" s="11" t="n"/>
      <c r="K25" s="5" t="n"/>
      <c r="L25" s="5" t="n"/>
    </row>
    <row r="26">
      <c r="A26" s="15" t="n">
        <v>14</v>
      </c>
      <c r="B26" s="16" t="inlineStr">
        <is>
          <t>1c531849</t>
        </is>
      </c>
      <c r="C26" s="17" t="inlineStr">
        <is>
          <t>Aspropyrgos Refinery</t>
        </is>
      </c>
      <c r="D26" s="16" t="inlineStr">
        <is>
          <t>u_0038</t>
        </is>
      </c>
      <c r="E26" s="17" t="inlineStr">
        <is>
          <t>Crude 1 (2100)</t>
        </is>
      </c>
      <c r="F26" s="18" t="n">
        <v>4235513</v>
      </c>
      <c r="G26" s="18">
        <f>F26*0.8</f>
        <v/>
      </c>
      <c r="H26" s="18">
        <f>SUM(G26:G27)</f>
        <v/>
      </c>
      <c r="I26" s="16" t="inlineStr">
        <is>
          <t>0f764555</t>
        </is>
      </c>
      <c r="J26" s="19" t="n">
        <v>1.3</v>
      </c>
      <c r="K26" s="18" t="n">
        <v>1182450</v>
      </c>
      <c r="L26" s="18">
        <f>SUM(K26:K26)</f>
        <v/>
      </c>
      <c r="M26" s="21">
        <f>MIN(K26,MAX(0,$H$26-(L26-K26)))/$H$26</f>
        <v/>
      </c>
      <c r="N26" s="15">
        <f>IF(COUNTIF($I$2:$I$182,I26)&gt;1,"Yes","No")</f>
        <v/>
      </c>
    </row>
    <row r="27">
      <c r="A27" s="2" t="n"/>
      <c r="B27" s="3" t="inlineStr">
        <is>
          <t>1c531849</t>
        </is>
      </c>
      <c r="C27" s="4" t="inlineStr">
        <is>
          <t>Aspropyrgos Refinery</t>
        </is>
      </c>
      <c r="D27" s="3" t="inlineStr">
        <is>
          <t>u_0039</t>
        </is>
      </c>
      <c r="E27" s="4" t="inlineStr">
        <is>
          <t>Crude 2 (2000)</t>
        </is>
      </c>
      <c r="F27" s="5" t="n">
        <v>2591137</v>
      </c>
      <c r="G27" s="5">
        <f>F27*0.8</f>
        <v/>
      </c>
      <c r="H27" s="5" t="n"/>
      <c r="I27" s="3" t="inlineStr">
        <is>
          <t>e682bb86</t>
        </is>
      </c>
      <c r="J27" s="11" t="n">
        <v>19.8</v>
      </c>
      <c r="K27" s="5" t="n">
        <v>9041881</v>
      </c>
      <c r="L27" s="5">
        <f>SUM(K26:K27)</f>
        <v/>
      </c>
      <c r="M27" s="20">
        <f>MIN(K27,MAX(0,$H$26-(L27-K27)))/$H$26</f>
        <v/>
      </c>
      <c r="N27" s="2">
        <f>IF(COUNTIF($I$2:$I$182,I27)&gt;1,"Yes","No")</f>
        <v/>
      </c>
    </row>
    <row r="28">
      <c r="A28" s="15" t="n">
        <v>15</v>
      </c>
      <c r="B28" s="16" t="inlineStr">
        <is>
          <t>1daea1f7</t>
        </is>
      </c>
      <c r="C28" s="17" t="inlineStr">
        <is>
          <t>Kalundborg Refinery</t>
        </is>
      </c>
      <c r="D28" s="16" t="inlineStr">
        <is>
          <t>u_0042</t>
        </is>
      </c>
      <c r="E28" s="17" t="inlineStr">
        <is>
          <t>Section 200 (Atmospheric Distillation)</t>
        </is>
      </c>
      <c r="F28" s="18" t="n">
        <v>3383427</v>
      </c>
      <c r="G28" s="18">
        <f>F28*0.8</f>
        <v/>
      </c>
      <c r="H28" s="18">
        <f>SUM(G28:G28)</f>
        <v/>
      </c>
      <c r="I28" s="16" t="inlineStr">
        <is>
          <t>ac64c327</t>
        </is>
      </c>
      <c r="J28" s="19" t="n">
        <v>1.7</v>
      </c>
      <c r="K28" s="18" t="n">
        <v>4081878</v>
      </c>
      <c r="L28" s="18">
        <f>SUM(K28:K28)</f>
        <v/>
      </c>
      <c r="M28" s="21">
        <f>MIN(K28,MAX(0,$H$28-(L28-K28)))/$H$28</f>
        <v/>
      </c>
      <c r="N28" s="15">
        <f>IF(COUNTIF($I$2:$I$182,I28)&gt;1,"Yes","No")</f>
        <v/>
      </c>
    </row>
    <row r="29">
      <c r="A29" s="15" t="n">
        <v>16</v>
      </c>
      <c r="B29" s="16" t="inlineStr">
        <is>
          <t>1e8ccaa5</t>
        </is>
      </c>
      <c r="C29" s="17" t="inlineStr">
        <is>
          <t>Pernis Refinery</t>
        </is>
      </c>
      <c r="D29" s="16" t="inlineStr">
        <is>
          <t>u_0045</t>
        </is>
      </c>
      <c r="E29" s="17" t="inlineStr">
        <is>
          <t>CD 6 (Sour)</t>
        </is>
      </c>
      <c r="F29" s="18" t="n">
        <v>9965912</v>
      </c>
      <c r="G29" s="18">
        <f>F29*0.8</f>
        <v/>
      </c>
      <c r="H29" s="18">
        <f>SUM(G29:G30)</f>
        <v/>
      </c>
      <c r="I29" s="16" t="inlineStr">
        <is>
          <t>09ce0874</t>
        </is>
      </c>
      <c r="J29" s="19" t="n">
        <v>1.8</v>
      </c>
      <c r="K29" s="18" t="n">
        <v>921238</v>
      </c>
      <c r="L29" s="18">
        <f>SUM(K29:K29)</f>
        <v/>
      </c>
      <c r="M29" s="21">
        <f>MIN(K29,MAX(0,$H$29-(L29-K29)))/$H$29</f>
        <v/>
      </c>
      <c r="N29" s="15">
        <f>IF(COUNTIF($I$2:$I$182,I29)&gt;1,"Yes","No")</f>
        <v/>
      </c>
    </row>
    <row r="30">
      <c r="A30" s="2" t="n"/>
      <c r="B30" s="3" t="inlineStr">
        <is>
          <t>1e8ccaa5</t>
        </is>
      </c>
      <c r="C30" s="4" t="inlineStr">
        <is>
          <t>Pernis Refinery</t>
        </is>
      </c>
      <c r="D30" s="3" t="inlineStr">
        <is>
          <t>u_0046</t>
        </is>
      </c>
      <c r="E30" s="4" t="inlineStr">
        <is>
          <t>Crude 5 (Sweet&amp;Sour)</t>
        </is>
      </c>
      <c r="F30" s="5" t="n">
        <v>9965912</v>
      </c>
      <c r="G30" s="5">
        <f>F30*0.8</f>
        <v/>
      </c>
      <c r="H30" s="5" t="n"/>
      <c r="I30" s="3" t="inlineStr">
        <is>
          <t>7ad6df35</t>
        </is>
      </c>
      <c r="J30" s="11" t="n">
        <v>5.1</v>
      </c>
      <c r="K30" s="5" t="n">
        <v>64173052</v>
      </c>
      <c r="L30" s="5">
        <f>SUM(K29:K30)</f>
        <v/>
      </c>
      <c r="M30" s="20">
        <f>MIN(K30,MAX(0,$H$29-(L30-K30)))/$H$29</f>
        <v/>
      </c>
      <c r="N30" s="2">
        <f>IF(COUNTIF($I$2:$I$182,I30)&gt;1,"Yes","No")</f>
        <v/>
      </c>
    </row>
    <row r="31">
      <c r="A31" s="15" t="n">
        <v>17</v>
      </c>
      <c r="B31" s="16" t="inlineStr">
        <is>
          <t>1f2d783f</t>
        </is>
      </c>
      <c r="C31" s="17" t="inlineStr">
        <is>
          <t>Nynas Gothenburg Refinery</t>
        </is>
      </c>
      <c r="D31" s="16" t="inlineStr">
        <is>
          <t>u_0047</t>
        </is>
      </c>
      <c r="E31" s="17" t="inlineStr">
        <is>
          <t>Atmospheric Distillation</t>
        </is>
      </c>
      <c r="F31" s="18" t="n">
        <v>398636</v>
      </c>
      <c r="G31" s="18">
        <f>F31*0.8</f>
        <v/>
      </c>
      <c r="H31" s="18">
        <f>SUM(G31:G31)</f>
        <v/>
      </c>
      <c r="I31" s="16" t="inlineStr">
        <is>
          <t>5002acae</t>
        </is>
      </c>
      <c r="J31" s="19" t="n">
        <v>2.3</v>
      </c>
      <c r="K31" s="18" t="n">
        <v>8329977</v>
      </c>
      <c r="L31" s="18">
        <f>SUM(K31:K31)</f>
        <v/>
      </c>
      <c r="M31" s="21">
        <f>MIN(K31,MAX(0,$H$31-(L31-K31)))/$H$31</f>
        <v/>
      </c>
      <c r="N31" s="15">
        <f>IF(COUNTIF($I$2:$I$182,I31)&gt;1,"Yes","No")</f>
        <v/>
      </c>
    </row>
    <row r="32">
      <c r="A32" s="15" t="n">
        <v>18</v>
      </c>
      <c r="B32" s="16" t="inlineStr">
        <is>
          <t>2290f820</t>
        </is>
      </c>
      <c r="C32" s="17" t="inlineStr">
        <is>
          <t>Milazzo Refinery</t>
        </is>
      </c>
      <c r="D32" s="16" t="inlineStr">
        <is>
          <t>u_0051</t>
        </is>
      </c>
      <c r="E32" s="17" t="inlineStr">
        <is>
          <t>U013 TP3 (Topping 3)</t>
        </is>
      </c>
      <c r="F32" s="18" t="n">
        <v>6869453</v>
      </c>
      <c r="G32" s="18">
        <f>F32*0.8</f>
        <v/>
      </c>
      <c r="H32" s="18">
        <f>SUM(G32:G33)</f>
        <v/>
      </c>
      <c r="I32" s="16" t="inlineStr">
        <is>
          <t>47e82818</t>
        </is>
      </c>
      <c r="J32" s="19" t="n">
        <v>0.6</v>
      </c>
      <c r="K32" s="18" t="n">
        <v>10737169</v>
      </c>
      <c r="L32" s="18">
        <f>SUM(K32:K32)</f>
        <v/>
      </c>
      <c r="M32" s="21">
        <f>MIN(K32,MAX(0,$H$32-(L32-K32)))/$H$32</f>
        <v/>
      </c>
      <c r="N32" s="15">
        <f>IF(COUNTIF($I$2:$I$182,I32)&gt;1,"Yes","No")</f>
        <v/>
      </c>
    </row>
    <row r="33">
      <c r="A33" s="2" t="n"/>
      <c r="B33" s="3" t="inlineStr">
        <is>
          <t>2290f820</t>
        </is>
      </c>
      <c r="C33" s="4" t="inlineStr">
        <is>
          <t>Milazzo Refinery</t>
        </is>
      </c>
      <c r="D33" s="3" t="inlineStr">
        <is>
          <t>u_0052</t>
        </is>
      </c>
      <c r="E33" s="4" t="inlineStr">
        <is>
          <t>U017 TP4 (Topping 4)</t>
        </is>
      </c>
      <c r="F33" s="5" t="n">
        <v>5531081</v>
      </c>
      <c r="G33" s="5">
        <f>F33*0.8</f>
        <v/>
      </c>
      <c r="H33" s="5" t="n"/>
      <c r="I33" s="3" t="n"/>
      <c r="J33" s="11" t="n"/>
      <c r="K33" s="5" t="n"/>
      <c r="L33" s="5" t="n"/>
    </row>
    <row r="34">
      <c r="A34" s="15" t="n">
        <v>19</v>
      </c>
      <c r="B34" s="16" t="inlineStr">
        <is>
          <t>24bb32b4</t>
        </is>
      </c>
      <c r="C34" s="17" t="inlineStr">
        <is>
          <t>Tarragona Refinery</t>
        </is>
      </c>
      <c r="D34" s="16" t="inlineStr">
        <is>
          <t>u_0054</t>
        </is>
      </c>
      <c r="E34" s="17" t="inlineStr">
        <is>
          <t>Crude 1</t>
        </is>
      </c>
      <c r="F34" s="18" t="n">
        <v>7474434</v>
      </c>
      <c r="G34" s="18">
        <f>F34*0.8</f>
        <v/>
      </c>
      <c r="H34" s="18">
        <f>SUM(G34:G35)</f>
        <v/>
      </c>
      <c r="I34" s="16" t="inlineStr">
        <is>
          <t>12d6ed9a</t>
        </is>
      </c>
      <c r="J34" s="19" t="n">
        <v>9.199999999999999</v>
      </c>
      <c r="K34" s="18" t="n">
        <v>671490</v>
      </c>
      <c r="L34" s="18">
        <f>SUM(K34:K34)</f>
        <v/>
      </c>
      <c r="M34" s="21">
        <f>MIN(K34,MAX(0,$H$34-(L34-K34)))/$H$34</f>
        <v/>
      </c>
      <c r="N34" s="15">
        <f>IF(COUNTIF($I$2:$I$182,I34)&gt;1,"Yes","No")</f>
        <v/>
      </c>
    </row>
    <row r="35">
      <c r="A35" s="2" t="n"/>
      <c r="B35" s="3" t="inlineStr">
        <is>
          <t>24bb32b4</t>
        </is>
      </c>
      <c r="C35" s="4" t="inlineStr">
        <is>
          <t>Tarragona Refinery</t>
        </is>
      </c>
      <c r="D35" s="3" t="inlineStr">
        <is>
          <t>u_0055</t>
        </is>
      </c>
      <c r="E35" s="4" t="inlineStr">
        <is>
          <t>Crude 2</t>
        </is>
      </c>
      <c r="F35" s="5" t="n">
        <v>1195909</v>
      </c>
      <c r="G35" s="5">
        <f>F35*0.8</f>
        <v/>
      </c>
      <c r="H35" s="5" t="n"/>
      <c r="I35" s="3" t="inlineStr">
        <is>
          <t>2a1bce3a</t>
        </is>
      </c>
      <c r="J35" s="11" t="n">
        <v>9.9</v>
      </c>
      <c r="K35" s="5" t="n">
        <v>7851306</v>
      </c>
      <c r="L35" s="5">
        <f>SUM(K34:K35)</f>
        <v/>
      </c>
      <c r="M35" s="20">
        <f>MIN(K35,MAX(0,$H$34-(L35-K35)))/$H$34</f>
        <v/>
      </c>
      <c r="N35" s="2">
        <f>IF(COUNTIF($I$2:$I$182,I35)&gt;1,"Yes","No")</f>
        <v/>
      </c>
    </row>
    <row r="36">
      <c r="A36" s="15" t="n">
        <v>20</v>
      </c>
      <c r="B36" s="16" t="inlineStr">
        <is>
          <t>26af24bb</t>
        </is>
      </c>
      <c r="C36" s="17" t="inlineStr">
        <is>
          <t>Gonfreville Refinery (Normandie)</t>
        </is>
      </c>
      <c r="D36" s="16" t="inlineStr">
        <is>
          <t>u_0058</t>
        </is>
      </c>
      <c r="E36" s="17" t="inlineStr">
        <is>
          <t>D11 (Crude Unit)</t>
        </is>
      </c>
      <c r="F36" s="18" t="n">
        <v>12457390</v>
      </c>
      <c r="G36" s="18">
        <f>F36*0.8</f>
        <v/>
      </c>
      <c r="H36" s="18">
        <f>SUM(G36:G36)</f>
        <v/>
      </c>
      <c r="I36" s="16" t="inlineStr">
        <is>
          <t>d79eb2e2</t>
        </is>
      </c>
      <c r="J36" s="19" t="n">
        <v>187.3</v>
      </c>
      <c r="K36" s="18" t="n">
        <v>10836149</v>
      </c>
      <c r="L36" s="18">
        <f>SUM(K36:K36)</f>
        <v/>
      </c>
      <c r="M36" s="21">
        <f>MIN(K36,MAX(0,$H$36-(L36-K36)))/$H$36</f>
        <v/>
      </c>
      <c r="N36" s="15">
        <f>IF(COUNTIF($I$2:$I$182,I36)&gt;1,"Yes","No")</f>
        <v/>
      </c>
    </row>
    <row r="37">
      <c r="A37" s="15" t="n">
        <v>21</v>
      </c>
      <c r="B37" s="16" t="inlineStr">
        <is>
          <t>307f8e57</t>
        </is>
      </c>
      <c r="C37" s="17" t="inlineStr">
        <is>
          <t>ASESA Asphalt Refinery</t>
        </is>
      </c>
      <c r="D37" s="16" t="inlineStr">
        <is>
          <t>u_0066</t>
        </is>
      </c>
      <c r="E37" s="17" t="inlineStr">
        <is>
          <t>Atmospheric &amp; Vacuum Distillation</t>
        </is>
      </c>
      <c r="F37" s="18" t="n">
        <v>1494887</v>
      </c>
      <c r="G37" s="18">
        <f>F37*0.8</f>
        <v/>
      </c>
      <c r="H37" s="18">
        <f>SUM(G37:G37)</f>
        <v/>
      </c>
      <c r="I37" s="16" t="inlineStr">
        <is>
          <t>12d6ed9a</t>
        </is>
      </c>
      <c r="J37" s="19" t="n">
        <v>1.3</v>
      </c>
      <c r="K37" s="18" t="n">
        <v>671490</v>
      </c>
      <c r="L37" s="18">
        <f>SUM(K37:K37)</f>
        <v/>
      </c>
      <c r="M37" s="21">
        <f>MIN(K37,MAX(0,$H$37-(L37-K37)))/$H$37</f>
        <v/>
      </c>
      <c r="N37" s="15">
        <f>IF(COUNTIF($I$2:$I$182,I37)&gt;1,"Yes","No")</f>
        <v/>
      </c>
    </row>
    <row r="38">
      <c r="A38" s="2" t="n"/>
      <c r="B38" s="3" t="inlineStr">
        <is>
          <t>307f8e57</t>
        </is>
      </c>
      <c r="C38" s="4" t="inlineStr">
        <is>
          <t>ASESA Asphalt Refinery</t>
        </is>
      </c>
      <c r="D38" s="3" t="n"/>
      <c r="E38" s="4" t="n"/>
      <c r="F38" s="5" t="n"/>
      <c r="G38" s="5" t="n"/>
      <c r="H38" s="5" t="n"/>
      <c r="I38" s="3" t="inlineStr">
        <is>
          <t>2a1bce3a</t>
        </is>
      </c>
      <c r="J38" s="11" t="n">
        <v>1.9</v>
      </c>
      <c r="K38" s="5" t="n">
        <v>7851306</v>
      </c>
      <c r="L38" s="5">
        <f>SUM(K37:K38)</f>
        <v/>
      </c>
      <c r="M38" s="20">
        <f>MIN(K38,MAX(0,$H$37-(L38-K38)))/$H$37</f>
        <v/>
      </c>
      <c r="N38" s="2">
        <f>IF(COUNTIF($I$2:$I$182,I38)&gt;1,"Yes","No")</f>
        <v/>
      </c>
    </row>
    <row r="39">
      <c r="A39" s="15" t="n">
        <v>22</v>
      </c>
      <c r="B39" s="16" t="inlineStr">
        <is>
          <t>30d8879f</t>
        </is>
      </c>
      <c r="C39" s="17" t="inlineStr">
        <is>
          <t>Gelsenkirchen Horst Refinery</t>
        </is>
      </c>
      <c r="D39" s="16" t="inlineStr">
        <is>
          <t>u_0067</t>
        </is>
      </c>
      <c r="E39" s="17" t="inlineStr">
        <is>
          <t>A11 Topping Unit</t>
        </is>
      </c>
      <c r="F39" s="18" t="n">
        <v>5979547</v>
      </c>
      <c r="G39" s="18">
        <f>F39*0.8</f>
        <v/>
      </c>
      <c r="H39" s="18">
        <f>SUM(G39:G39)</f>
        <v/>
      </c>
      <c r="I39" s="16" t="inlineStr">
        <is>
          <t>a138d843</t>
        </is>
      </c>
      <c r="J39" s="19" t="n">
        <v>189.6</v>
      </c>
      <c r="K39" s="18" t="n">
        <v>151859</v>
      </c>
      <c r="L39" s="18">
        <f>SUM(K39:K39)</f>
        <v/>
      </c>
      <c r="M39" s="21">
        <f>MIN(K39,MAX(0,$H$39-(L39-K39)))/$H$39</f>
        <v/>
      </c>
      <c r="N39" s="15">
        <f>IF(COUNTIF($I$2:$I$182,I39)&gt;1,"Yes","No")</f>
        <v/>
      </c>
    </row>
    <row r="40">
      <c r="A40" s="2" t="n"/>
      <c r="B40" s="3" t="inlineStr">
        <is>
          <t>30d8879f</t>
        </is>
      </c>
      <c r="C40" s="4" t="inlineStr">
        <is>
          <t>Gelsenkirchen Horst Refinery</t>
        </is>
      </c>
      <c r="D40" s="3" t="n"/>
      <c r="E40" s="4" t="n"/>
      <c r="F40" s="5" t="n"/>
      <c r="G40" s="5" t="n"/>
      <c r="H40" s="5" t="n"/>
      <c r="I40" s="3" t="inlineStr">
        <is>
          <t>09ce0874</t>
        </is>
      </c>
      <c r="J40" s="11" t="n">
        <v>192.2</v>
      </c>
      <c r="K40" s="5" t="n">
        <v>921238</v>
      </c>
      <c r="L40" s="5">
        <f>SUM(K39:K40)</f>
        <v/>
      </c>
      <c r="M40" s="20">
        <f>MIN(K40,MAX(0,$H$39-(L40-K40)))/$H$39</f>
        <v/>
      </c>
      <c r="N40" s="2">
        <f>IF(COUNTIF($I$2:$I$182,I40)&gt;1,"Yes","No")</f>
        <v/>
      </c>
    </row>
    <row r="41">
      <c r="A41" s="2" t="n"/>
      <c r="B41" s="3" t="inlineStr">
        <is>
          <t>30d8879f</t>
        </is>
      </c>
      <c r="C41" s="4" t="inlineStr">
        <is>
          <t>Gelsenkirchen Horst Refinery</t>
        </is>
      </c>
      <c r="D41" s="3" t="n"/>
      <c r="E41" s="4" t="n"/>
      <c r="F41" s="5" t="n"/>
      <c r="G41" s="5" t="n"/>
      <c r="H41" s="5" t="n"/>
      <c r="I41" s="3" t="inlineStr">
        <is>
          <t>7ad6df35</t>
        </is>
      </c>
      <c r="J41" s="11" t="n">
        <v>195</v>
      </c>
      <c r="K41" s="5" t="n">
        <v>64173052</v>
      </c>
      <c r="L41" s="5">
        <f>SUM(K39:K41)</f>
        <v/>
      </c>
      <c r="M41" s="20">
        <f>MIN(K41,MAX(0,$H$39-(L41-K41)))/$H$39</f>
        <v/>
      </c>
      <c r="N41" s="2">
        <f>IF(COUNTIF($I$2:$I$182,I41)&gt;1,"Yes","No")</f>
        <v/>
      </c>
    </row>
    <row r="42">
      <c r="A42" s="15" t="n">
        <v>23</v>
      </c>
      <c r="B42" s="16" t="inlineStr">
        <is>
          <t>35c64be4</t>
        </is>
      </c>
      <c r="C42" s="17" t="inlineStr">
        <is>
          <t>Jedlicze Refinery</t>
        </is>
      </c>
      <c r="D42" s="16" t="inlineStr">
        <is>
          <t>u_0069</t>
        </is>
      </c>
      <c r="E42" s="17" t="inlineStr">
        <is>
          <t>Crude</t>
        </is>
      </c>
      <c r="F42" s="18" t="n">
        <v>1395228</v>
      </c>
      <c r="G42" s="18">
        <f>F42*0.8</f>
        <v/>
      </c>
      <c r="H42" s="18">
        <f>SUM(G42:G42)</f>
        <v/>
      </c>
      <c r="I42" s="16" t="inlineStr">
        <is>
          <t>8a27ed79</t>
        </is>
      </c>
      <c r="J42" s="19" t="n">
        <v>558.7</v>
      </c>
      <c r="K42" s="18" t="n">
        <v>143826</v>
      </c>
      <c r="L42" s="18">
        <f>SUM(K42:K42)</f>
        <v/>
      </c>
      <c r="M42" s="21">
        <f>MIN(K42,MAX(0,$H$42-(L42-K42)))/$H$42</f>
        <v/>
      </c>
      <c r="N42" s="15">
        <f>IF(COUNTIF($I$2:$I$182,I42)&gt;1,"Yes","No")</f>
        <v/>
      </c>
    </row>
    <row r="43">
      <c r="A43" s="2" t="n"/>
      <c r="B43" s="3" t="inlineStr">
        <is>
          <t>35c64be4</t>
        </is>
      </c>
      <c r="C43" s="4" t="inlineStr">
        <is>
          <t>Jedlicze Refinery</t>
        </is>
      </c>
      <c r="D43" s="3" t="n"/>
      <c r="E43" s="4" t="n"/>
      <c r="F43" s="5" t="n"/>
      <c r="G43" s="5" t="n"/>
      <c r="H43" s="5" t="n"/>
      <c r="I43" s="3" t="inlineStr">
        <is>
          <t>5d688dfc</t>
        </is>
      </c>
      <c r="J43" s="11" t="n">
        <v>559.3</v>
      </c>
      <c r="K43" s="5" t="n">
        <v>37538991</v>
      </c>
      <c r="L43" s="5">
        <f>SUM(K42:K43)</f>
        <v/>
      </c>
      <c r="M43" s="20">
        <f>MIN(K43,MAX(0,$H$42-(L43-K43)))/$H$42</f>
        <v/>
      </c>
      <c r="N43" s="2">
        <f>IF(COUNTIF($I$2:$I$182,I43)&gt;1,"Yes","No")</f>
        <v/>
      </c>
    </row>
    <row r="44">
      <c r="A44" s="15" t="n">
        <v>24</v>
      </c>
      <c r="B44" s="16" t="inlineStr">
        <is>
          <t>383f296e</t>
        </is>
      </c>
      <c r="C44" s="17" t="inlineStr">
        <is>
          <t>Rotterdam Refinery</t>
        </is>
      </c>
      <c r="D44" s="16" t="inlineStr">
        <is>
          <t>u_0072</t>
        </is>
      </c>
      <c r="E44" s="17" t="inlineStr">
        <is>
          <t>Pipestill (Crude 1)</t>
        </is>
      </c>
      <c r="F44" s="18" t="n">
        <v>9517446</v>
      </c>
      <c r="G44" s="18">
        <f>F44*0.8</f>
        <v/>
      </c>
      <c r="H44" s="18">
        <f>SUM(G44:G44)</f>
        <v/>
      </c>
      <c r="I44" s="16" t="inlineStr">
        <is>
          <t>09ce0874</t>
        </is>
      </c>
      <c r="J44" s="19" t="n">
        <v>1.5</v>
      </c>
      <c r="K44" s="18" t="n">
        <v>921238</v>
      </c>
      <c r="L44" s="18">
        <f>SUM(K44:K44)</f>
        <v/>
      </c>
      <c r="M44" s="21">
        <f>MIN(K44,MAX(0,$H$44-(L44-K44)))/$H$44</f>
        <v/>
      </c>
      <c r="N44" s="15">
        <f>IF(COUNTIF($I$2:$I$182,I44)&gt;1,"Yes","No")</f>
        <v/>
      </c>
    </row>
    <row r="45">
      <c r="A45" s="2" t="n"/>
      <c r="B45" s="3" t="inlineStr">
        <is>
          <t>383f296e</t>
        </is>
      </c>
      <c r="C45" s="4" t="inlineStr">
        <is>
          <t>Rotterdam Refinery</t>
        </is>
      </c>
      <c r="D45" s="3" t="n"/>
      <c r="E45" s="4" t="n"/>
      <c r="F45" s="5" t="n"/>
      <c r="G45" s="5" t="n"/>
      <c r="H45" s="5" t="n"/>
      <c r="I45" s="3" t="inlineStr">
        <is>
          <t>7ad6df35</t>
        </is>
      </c>
      <c r="J45" s="11" t="n">
        <v>4.2</v>
      </c>
      <c r="K45" s="5" t="n">
        <v>64173052</v>
      </c>
      <c r="L45" s="5">
        <f>SUM(K44:K45)</f>
        <v/>
      </c>
      <c r="M45" s="20">
        <f>MIN(K45,MAX(0,$H$44-(L45-K45)))/$H$44</f>
        <v/>
      </c>
      <c r="N45" s="2">
        <f>IF(COUNTIF($I$2:$I$182,I45)&gt;1,"Yes","No")</f>
        <v/>
      </c>
    </row>
    <row r="46">
      <c r="A46" s="15" t="n">
        <v>25</v>
      </c>
      <c r="B46" s="16" t="inlineStr">
        <is>
          <t>391abb50</t>
        </is>
      </c>
      <c r="C46" s="17" t="inlineStr">
        <is>
          <t>Feyzin Refinery</t>
        </is>
      </c>
      <c r="D46" s="16" t="inlineStr">
        <is>
          <t>u_0075</t>
        </is>
      </c>
      <c r="E46" s="17" t="inlineStr">
        <is>
          <t>DA2 (Atmospheric Distillation) (PC2)</t>
        </is>
      </c>
      <c r="F46" s="18" t="n">
        <v>5830059</v>
      </c>
      <c r="G46" s="18">
        <f>F46*0.8</f>
        <v/>
      </c>
      <c r="H46" s="18">
        <f>SUM(G46:G46)</f>
        <v/>
      </c>
      <c r="I46" s="16" t="inlineStr">
        <is>
          <t>fb0b3578</t>
        </is>
      </c>
      <c r="J46" s="19" t="n">
        <v>324.2</v>
      </c>
      <c r="K46" s="18" t="n">
        <v>6134936</v>
      </c>
      <c r="L46" s="18">
        <f>SUM(K46:K46)</f>
        <v/>
      </c>
      <c r="M46" s="21">
        <f>MIN(K46,MAX(0,$H$46-(L46-K46)))/$H$46</f>
        <v/>
      </c>
      <c r="N46" s="15">
        <f>IF(COUNTIF($I$2:$I$182,I46)&gt;1,"Yes","No")</f>
        <v/>
      </c>
    </row>
    <row r="47">
      <c r="A47" s="15" t="n">
        <v>26</v>
      </c>
      <c r="B47" s="16" t="inlineStr">
        <is>
          <t>39dc8740</t>
        </is>
      </c>
      <c r="C47" s="17" t="inlineStr">
        <is>
          <t>Fos-sur-Mer Refinery</t>
        </is>
      </c>
      <c r="D47" s="16" t="inlineStr">
        <is>
          <t>u_0076</t>
        </is>
      </c>
      <c r="E47" s="17" t="inlineStr">
        <is>
          <t>DA (Atmospheric Distillation Unit)</t>
        </is>
      </c>
      <c r="F47" s="18" t="n">
        <v>6976138</v>
      </c>
      <c r="G47" s="18">
        <f>F47*0.8</f>
        <v/>
      </c>
      <c r="H47" s="18">
        <f>SUM(G47:G47)</f>
        <v/>
      </c>
      <c r="I47" s="16" t="inlineStr">
        <is>
          <t>fb0b3578</t>
        </is>
      </c>
      <c r="J47" s="19" t="n">
        <v>298.9</v>
      </c>
      <c r="K47" s="18" t="n">
        <v>6134936</v>
      </c>
      <c r="L47" s="18">
        <f>SUM(K47:K47)</f>
        <v/>
      </c>
      <c r="M47" s="21">
        <f>MIN(K47,MAX(0,$H$47-(L47-K47)))/$H$47</f>
        <v/>
      </c>
      <c r="N47" s="15">
        <f>IF(COUNTIF($I$2:$I$182,I47)&gt;1,"Yes","No")</f>
        <v/>
      </c>
    </row>
    <row r="48">
      <c r="A48" s="15" t="n">
        <v>27</v>
      </c>
      <c r="B48" s="16" t="inlineStr">
        <is>
          <t>3c23882e</t>
        </is>
      </c>
      <c r="C48" s="17" t="inlineStr">
        <is>
          <t>Schwedt Refinery</t>
        </is>
      </c>
      <c r="D48" s="16" t="inlineStr">
        <is>
          <t>u_0078</t>
        </is>
      </c>
      <c r="E48" s="17" t="inlineStr">
        <is>
          <t>Crude 1</t>
        </is>
      </c>
      <c r="F48" s="18" t="n">
        <v>3687387</v>
      </c>
      <c r="G48" s="18">
        <f>F48*0.8</f>
        <v/>
      </c>
      <c r="H48" s="18">
        <f>SUM(G48:G49)</f>
        <v/>
      </c>
      <c r="I48" s="16" t="inlineStr">
        <is>
          <t>9944fac5</t>
        </is>
      </c>
      <c r="J48" s="19" t="n">
        <v>183.6</v>
      </c>
      <c r="K48" s="18" t="n">
        <v>5692623</v>
      </c>
      <c r="L48" s="18">
        <f>SUM(K48:K48)</f>
        <v/>
      </c>
      <c r="M48" s="21">
        <f>MIN(K48,MAX(0,$H$48-(L48-K48)))/$H$48</f>
        <v/>
      </c>
      <c r="N48" s="15">
        <f>IF(COUNTIF($I$2:$I$182,I48)&gt;1,"Yes","No")</f>
        <v/>
      </c>
    </row>
    <row r="49">
      <c r="A49" s="2" t="n"/>
      <c r="B49" s="3" t="inlineStr">
        <is>
          <t>3c23882e</t>
        </is>
      </c>
      <c r="C49" s="4" t="inlineStr">
        <is>
          <t>Schwedt Refinery</t>
        </is>
      </c>
      <c r="D49" s="3" t="inlineStr">
        <is>
          <t>u_0079</t>
        </is>
      </c>
      <c r="E49" s="4" t="inlineStr">
        <is>
          <t>Crude 2</t>
        </is>
      </c>
      <c r="F49" s="5" t="n">
        <v>7125627</v>
      </c>
      <c r="G49" s="5">
        <f>F49*0.8</f>
        <v/>
      </c>
      <c r="H49" s="5" t="n"/>
      <c r="I49" s="3" t="inlineStr">
        <is>
          <t>9c25973d</t>
        </is>
      </c>
      <c r="J49" s="11" t="n">
        <v>289.3</v>
      </c>
      <c r="K49" s="5" t="n">
        <v>10745</v>
      </c>
      <c r="L49" s="5">
        <f>SUM(K48:K49)</f>
        <v/>
      </c>
      <c r="M49" s="20">
        <f>MIN(K49,MAX(0,$H$48-(L49-K49)))/$H$48</f>
        <v/>
      </c>
      <c r="N49" s="2">
        <f>IF(COUNTIF($I$2:$I$182,I49)&gt;1,"Yes","No")</f>
        <v/>
      </c>
    </row>
    <row r="50">
      <c r="A50" s="2" t="n"/>
      <c r="B50" s="3" t="inlineStr">
        <is>
          <t>3c23882e</t>
        </is>
      </c>
      <c r="C50" s="4" t="inlineStr">
        <is>
          <t>Schwedt Refinery</t>
        </is>
      </c>
      <c r="D50" s="3" t="n"/>
      <c r="E50" s="4" t="n"/>
      <c r="F50" s="5" t="n"/>
      <c r="G50" s="5" t="n"/>
      <c r="H50" s="5" t="n"/>
      <c r="I50" s="3" t="inlineStr">
        <is>
          <t>8f793f55</t>
        </is>
      </c>
      <c r="J50" s="11" t="n">
        <v>304.6</v>
      </c>
      <c r="K50" s="5" t="n">
        <v>90419</v>
      </c>
      <c r="L50" s="5">
        <f>SUM(K48:K50)</f>
        <v/>
      </c>
      <c r="M50" s="20">
        <f>MIN(K50,MAX(0,$H$48-(L50-K50)))/$H$48</f>
        <v/>
      </c>
      <c r="N50" s="2">
        <f>IF(COUNTIF($I$2:$I$182,I50)&gt;1,"Yes","No")</f>
        <v/>
      </c>
    </row>
    <row r="51">
      <c r="A51" s="2" t="n"/>
      <c r="B51" s="3" t="inlineStr">
        <is>
          <t>3c23882e</t>
        </is>
      </c>
      <c r="C51" s="4" t="inlineStr">
        <is>
          <t>Schwedt Refinery</t>
        </is>
      </c>
      <c r="D51" s="3" t="n"/>
      <c r="E51" s="4" t="n"/>
      <c r="F51" s="5" t="n"/>
      <c r="G51" s="5" t="n"/>
      <c r="H51" s="5" t="n"/>
      <c r="I51" s="3" t="inlineStr">
        <is>
          <t>8a27ed79</t>
        </is>
      </c>
      <c r="J51" s="11" t="n">
        <v>325.3</v>
      </c>
      <c r="K51" s="5" t="n">
        <v>143826</v>
      </c>
      <c r="L51" s="5">
        <f>SUM(K48:K51)</f>
        <v/>
      </c>
      <c r="M51" s="20">
        <f>MIN(K51,MAX(0,$H$48-(L51-K51)))/$H$48</f>
        <v/>
      </c>
      <c r="N51" s="2">
        <f>IF(COUNTIF($I$2:$I$182,I51)&gt;1,"Yes","No")</f>
        <v/>
      </c>
    </row>
    <row r="52">
      <c r="A52" s="2" t="n"/>
      <c r="B52" s="3" t="inlineStr">
        <is>
          <t>3c23882e</t>
        </is>
      </c>
      <c r="C52" s="4" t="inlineStr">
        <is>
          <t>Schwedt Refinery</t>
        </is>
      </c>
      <c r="D52" s="3" t="n"/>
      <c r="E52" s="4" t="n"/>
      <c r="F52" s="5" t="n"/>
      <c r="G52" s="5" t="n"/>
      <c r="H52" s="5" t="n"/>
      <c r="I52" s="3" t="inlineStr">
        <is>
          <t>5d688dfc</t>
        </is>
      </c>
      <c r="J52" s="11" t="n">
        <v>328.7</v>
      </c>
      <c r="K52" s="5" t="n">
        <v>37538991</v>
      </c>
      <c r="L52" s="5">
        <f>SUM(K48:K52)</f>
        <v/>
      </c>
      <c r="M52" s="20">
        <f>MIN(K52,MAX(0,$H$48-(L52-K52)))/$H$48</f>
        <v/>
      </c>
      <c r="N52" s="2">
        <f>IF(COUNTIF($I$2:$I$182,I52)&gt;1,"Yes","No")</f>
        <v/>
      </c>
    </row>
    <row r="53">
      <c r="A53" s="15" t="n">
        <v>28</v>
      </c>
      <c r="B53" s="16" t="inlineStr">
        <is>
          <t>403c865c</t>
        </is>
      </c>
      <c r="C53" s="17" t="inlineStr">
        <is>
          <t>Burghausen Refinery</t>
        </is>
      </c>
      <c r="D53" s="16" t="inlineStr">
        <is>
          <t>u_0083</t>
        </is>
      </c>
      <c r="E53" s="17" t="inlineStr">
        <is>
          <t>Crude Distillation Unit</t>
        </is>
      </c>
      <c r="F53" s="18" t="n">
        <v>3488069</v>
      </c>
      <c r="G53" s="18">
        <f>F53*0.8</f>
        <v/>
      </c>
      <c r="H53" s="18">
        <f>SUM(G53:G53)</f>
        <v/>
      </c>
      <c r="I53" s="16" t="inlineStr">
        <is>
          <t>ae36b05f</t>
        </is>
      </c>
      <c r="J53" s="19" t="n">
        <v>294.9</v>
      </c>
      <c r="K53" s="18" t="n">
        <v>40943147</v>
      </c>
      <c r="L53" s="18">
        <f>SUM(K53:K53)</f>
        <v/>
      </c>
      <c r="M53" s="21">
        <f>MIN(K53,MAX(0,$H$53-(L53-K53)))/$H$53</f>
        <v/>
      </c>
      <c r="N53" s="15">
        <f>IF(COUNTIF($I$2:$I$182,I53)&gt;1,"Yes","No")</f>
        <v/>
      </c>
    </row>
    <row r="54">
      <c r="A54" s="15" t="n">
        <v>29</v>
      </c>
      <c r="B54" s="16" t="inlineStr">
        <is>
          <t>46e5aa3e</t>
        </is>
      </c>
      <c r="C54" s="17" t="inlineStr">
        <is>
          <t>Pancevo Refinery</t>
        </is>
      </c>
      <c r="D54" s="16" t="inlineStr">
        <is>
          <t>u_0084</t>
        </is>
      </c>
      <c r="E54" s="17" t="inlineStr">
        <is>
          <t>Atmospheric Distillation 2</t>
        </is>
      </c>
      <c r="F54" s="18" t="n">
        <v>3373212</v>
      </c>
      <c r="G54" s="18">
        <f>F54*0.8</f>
        <v/>
      </c>
      <c r="H54" s="18">
        <f>SUM(G54:G55)</f>
        <v/>
      </c>
      <c r="I54" s="16" t="inlineStr">
        <is>
          <t>a6813687</t>
        </is>
      </c>
      <c r="J54" s="19" t="n">
        <v>488.8</v>
      </c>
      <c r="K54" s="18" t="n">
        <v>5709416</v>
      </c>
      <c r="L54" s="18">
        <f>SUM(K54:K54)</f>
        <v/>
      </c>
      <c r="M54" s="21">
        <f>MIN(K54,MAX(0,$H$54-(L54-K54)))/$H$54</f>
        <v/>
      </c>
      <c r="N54" s="15">
        <f>IF(COUNTIF($I$2:$I$182,I54)&gt;1,"Yes","No")</f>
        <v/>
      </c>
    </row>
    <row r="55">
      <c r="A55" s="2" t="n"/>
      <c r="B55" s="3" t="inlineStr">
        <is>
          <t>46e5aa3e</t>
        </is>
      </c>
      <c r="C55" s="4" t="inlineStr">
        <is>
          <t>Pancevo Refinery</t>
        </is>
      </c>
      <c r="D55" s="3" t="inlineStr">
        <is>
          <t>u_0085</t>
        </is>
      </c>
      <c r="E55" s="4" t="inlineStr">
        <is>
          <t>Crude Distillation 1 S-100</t>
        </is>
      </c>
      <c r="F55" s="5" t="n">
        <v>1460255</v>
      </c>
      <c r="G55" s="5">
        <f>F55*0.8</f>
        <v/>
      </c>
      <c r="H55" s="5" t="n"/>
      <c r="I55" s="3" t="n"/>
      <c r="J55" s="11" t="n"/>
      <c r="K55" s="5" t="n"/>
      <c r="L55" s="5" t="n"/>
    </row>
    <row r="56">
      <c r="A56" s="15" t="n">
        <v>30</v>
      </c>
      <c r="B56" s="16" t="inlineStr">
        <is>
          <t>4a4d05f7</t>
        </is>
      </c>
      <c r="C56" s="17" t="inlineStr">
        <is>
          <t>MiRO Refinery Karlsruhe</t>
        </is>
      </c>
      <c r="D56" s="16" t="inlineStr">
        <is>
          <t>u_0093</t>
        </is>
      </c>
      <c r="E56" s="17" t="inlineStr">
        <is>
          <t>Topping 1</t>
        </is>
      </c>
      <c r="F56" s="18" t="n">
        <v>3737217</v>
      </c>
      <c r="G56" s="18">
        <f>F56*0.8</f>
        <v/>
      </c>
      <c r="H56" s="18">
        <f>SUM(G56:G58)</f>
        <v/>
      </c>
      <c r="I56" s="16" t="inlineStr">
        <is>
          <t>a138d843</t>
        </is>
      </c>
      <c r="J56" s="19" t="n">
        <v>377.2</v>
      </c>
      <c r="K56" s="18" t="n">
        <v>151859</v>
      </c>
      <c r="L56" s="18">
        <f>SUM(K56:K56)</f>
        <v/>
      </c>
      <c r="M56" s="21">
        <f>MIN(K56,MAX(0,$H$56-(L56-K56)))/$H$56</f>
        <v/>
      </c>
      <c r="N56" s="15">
        <f>IF(COUNTIF($I$2:$I$182,I56)&gt;1,"Yes","No")</f>
        <v/>
      </c>
    </row>
    <row r="57">
      <c r="A57" s="2" t="n"/>
      <c r="B57" s="3" t="inlineStr">
        <is>
          <t>4a4d05f7</t>
        </is>
      </c>
      <c r="C57" s="4" t="inlineStr">
        <is>
          <t>MiRO Refinery Karlsruhe</t>
        </is>
      </c>
      <c r="D57" s="3" t="inlineStr">
        <is>
          <t>u_0094</t>
        </is>
      </c>
      <c r="E57" s="4" t="inlineStr">
        <is>
          <t>Topping 2</t>
        </is>
      </c>
      <c r="F57" s="5" t="n">
        <v>6682144</v>
      </c>
      <c r="G57" s="5">
        <f>F57*0.8</f>
        <v/>
      </c>
      <c r="H57" s="5" t="n"/>
      <c r="I57" s="3" t="inlineStr">
        <is>
          <t>09ce0874</t>
        </is>
      </c>
      <c r="J57" s="11" t="n">
        <v>424.3</v>
      </c>
      <c r="K57" s="5" t="n">
        <v>921238</v>
      </c>
      <c r="L57" s="5">
        <f>SUM(K56:K57)</f>
        <v/>
      </c>
      <c r="M57" s="20">
        <f>MIN(K57,MAX(0,$H$56-(L57-K57)))/$H$56</f>
        <v/>
      </c>
      <c r="N57" s="2">
        <f>IF(COUNTIF($I$2:$I$182,I57)&gt;1,"Yes","No")</f>
        <v/>
      </c>
    </row>
    <row r="58">
      <c r="A58" s="2" t="n"/>
      <c r="B58" s="3" t="inlineStr">
        <is>
          <t>4a4d05f7</t>
        </is>
      </c>
      <c r="C58" s="4" t="inlineStr">
        <is>
          <t>MiRO Refinery Karlsruhe</t>
        </is>
      </c>
      <c r="D58" s="3" t="inlineStr">
        <is>
          <t>u_0095</t>
        </is>
      </c>
      <c r="E58" s="4" t="inlineStr">
        <is>
          <t>Topping 3</t>
        </is>
      </c>
      <c r="F58" s="5" t="n">
        <v>5446371</v>
      </c>
      <c r="G58" s="5">
        <f>F58*0.8</f>
        <v/>
      </c>
      <c r="H58" s="5" t="n"/>
      <c r="I58" s="3" t="inlineStr">
        <is>
          <t>7ad6df35</t>
        </is>
      </c>
      <c r="J58" s="11" t="n">
        <v>428.2</v>
      </c>
      <c r="K58" s="5" t="n">
        <v>64173052</v>
      </c>
      <c r="L58" s="5">
        <f>SUM(K56:K58)</f>
        <v/>
      </c>
      <c r="M58" s="20">
        <f>MIN(K58,MAX(0,$H$56-(L58-K58)))/$H$56</f>
        <v/>
      </c>
      <c r="N58" s="2">
        <f>IF(COUNTIF($I$2:$I$182,I58)&gt;1,"Yes","No")</f>
        <v/>
      </c>
    </row>
    <row r="59">
      <c r="A59" s="15" t="n">
        <v>31</v>
      </c>
      <c r="B59" s="16" t="inlineStr">
        <is>
          <t>4b8f324d</t>
        </is>
      </c>
      <c r="C59" s="17" t="inlineStr">
        <is>
          <t>Szazhalombatta Duna Refinery</t>
        </is>
      </c>
      <c r="D59" s="16" t="inlineStr">
        <is>
          <t>u_0097</t>
        </is>
      </c>
      <c r="E59" s="17" t="inlineStr">
        <is>
          <t>CD 1</t>
        </is>
      </c>
      <c r="F59" s="18" t="n">
        <v>1529768</v>
      </c>
      <c r="G59" s="18">
        <f>F59*0.8</f>
        <v/>
      </c>
      <c r="H59" s="18">
        <f>SUM(G59:G61)</f>
        <v/>
      </c>
      <c r="I59" s="16" t="inlineStr">
        <is>
          <t>a6813687</t>
        </is>
      </c>
      <c r="J59" s="19" t="n">
        <v>404.4</v>
      </c>
      <c r="K59" s="18" t="n">
        <v>5709416</v>
      </c>
      <c r="L59" s="18">
        <f>SUM(K59:K59)</f>
        <v/>
      </c>
      <c r="M59" s="21">
        <f>MIN(K59,MAX(0,$H$59-(L59-K59)))/$H$59</f>
        <v/>
      </c>
      <c r="N59" s="15">
        <f>IF(COUNTIF($I$2:$I$182,I59)&gt;1,"Yes","No")</f>
        <v/>
      </c>
    </row>
    <row r="60">
      <c r="A60" s="2" t="n"/>
      <c r="B60" s="3" t="inlineStr">
        <is>
          <t>4b8f324d</t>
        </is>
      </c>
      <c r="C60" s="4" t="inlineStr">
        <is>
          <t>Szazhalombatta Duna Refinery</t>
        </is>
      </c>
      <c r="D60" s="3" t="inlineStr">
        <is>
          <t>u_0098</t>
        </is>
      </c>
      <c r="E60" s="4" t="inlineStr">
        <is>
          <t>CD 2</t>
        </is>
      </c>
      <c r="F60" s="5" t="n">
        <v>2840285</v>
      </c>
      <c r="G60" s="5">
        <f>F60*0.8</f>
        <v/>
      </c>
      <c r="H60" s="5" t="n"/>
      <c r="I60" s="3" t="inlineStr">
        <is>
          <t>ae36b05f</t>
        </is>
      </c>
      <c r="J60" s="11" t="n">
        <v>433.5</v>
      </c>
      <c r="K60" s="5" t="n">
        <v>40943147</v>
      </c>
      <c r="L60" s="5">
        <f>SUM(K59:K60)</f>
        <v/>
      </c>
      <c r="M60" s="20">
        <f>MIN(K60,MAX(0,$H$59-(L60-K60)))/$H$59</f>
        <v/>
      </c>
      <c r="N60" s="2">
        <f>IF(COUNTIF($I$2:$I$182,I60)&gt;1,"Yes","No")</f>
        <v/>
      </c>
    </row>
    <row r="61">
      <c r="A61" s="2" t="n"/>
      <c r="B61" s="3" t="inlineStr">
        <is>
          <t>4b8f324d</t>
        </is>
      </c>
      <c r="C61" s="4" t="inlineStr">
        <is>
          <t>Szazhalombatta Duna Refinery</t>
        </is>
      </c>
      <c r="D61" s="3" t="inlineStr">
        <is>
          <t>u_0099</t>
        </is>
      </c>
      <c r="E61" s="4" t="inlineStr">
        <is>
          <t>CD 3</t>
        </is>
      </c>
      <c r="F61" s="5" t="n">
        <v>3602677</v>
      </c>
      <c r="G61" s="5">
        <f>F61*0.8</f>
        <v/>
      </c>
      <c r="H61" s="5" t="n"/>
      <c r="I61" s="3" t="n"/>
      <c r="J61" s="11" t="n"/>
      <c r="K61" s="5" t="n"/>
      <c r="L61" s="5" t="n"/>
    </row>
    <row r="62">
      <c r="A62" s="15" t="n">
        <v>32</v>
      </c>
      <c r="B62" s="16" t="inlineStr">
        <is>
          <t>4ce24db9</t>
        </is>
      </c>
      <c r="C62" s="17" t="inlineStr">
        <is>
          <t>Ingolstadt Refinery</t>
        </is>
      </c>
      <c r="D62" s="16" t="inlineStr">
        <is>
          <t>u_0100</t>
        </is>
      </c>
      <c r="E62" s="17" t="inlineStr">
        <is>
          <t>Crude 1</t>
        </is>
      </c>
      <c r="F62" s="18" t="n">
        <v>3762132</v>
      </c>
      <c r="G62" s="18">
        <f>F62*0.8</f>
        <v/>
      </c>
      <c r="H62" s="18">
        <f>SUM(G62:G63)</f>
        <v/>
      </c>
      <c r="I62" s="16" t="inlineStr">
        <is>
          <t>ae36b05f</t>
        </is>
      </c>
      <c r="J62" s="19" t="n">
        <v>393</v>
      </c>
      <c r="K62" s="18" t="n">
        <v>40943147</v>
      </c>
      <c r="L62" s="18">
        <f>SUM(K62:K62)</f>
        <v/>
      </c>
      <c r="M62" s="21">
        <f>MIN(K62,MAX(0,$H$62-(L62-K62)))/$H$62</f>
        <v/>
      </c>
      <c r="N62" s="15">
        <f>IF(COUNTIF($I$2:$I$182,I62)&gt;1,"Yes","No")</f>
        <v/>
      </c>
    </row>
    <row r="63">
      <c r="A63" s="2" t="n"/>
      <c r="B63" s="3" t="inlineStr">
        <is>
          <t>4ce24db9</t>
        </is>
      </c>
      <c r="C63" s="4" t="inlineStr">
        <is>
          <t>Ingolstadt Refinery</t>
        </is>
      </c>
      <c r="D63" s="3" t="inlineStr">
        <is>
          <t>u_0101</t>
        </is>
      </c>
      <c r="E63" s="4" t="inlineStr">
        <is>
          <t>Crude 2</t>
        </is>
      </c>
      <c r="F63" s="5" t="n">
        <v>1719120</v>
      </c>
      <c r="G63" s="5">
        <f>F63*0.8</f>
        <v/>
      </c>
      <c r="H63" s="5" t="n"/>
      <c r="I63" s="3" t="n"/>
      <c r="J63" s="11" t="n"/>
      <c r="K63" s="5" t="n"/>
      <c r="L63" s="5" t="n"/>
    </row>
    <row r="64">
      <c r="A64" s="15" t="n">
        <v>33</v>
      </c>
      <c r="B64" s="16" t="inlineStr">
        <is>
          <t>4f22984e</t>
        </is>
      </c>
      <c r="C64" s="17" t="inlineStr">
        <is>
          <t>Batman Refinery</t>
        </is>
      </c>
      <c r="D64" s="16" t="inlineStr">
        <is>
          <t>u_0102</t>
        </is>
      </c>
      <c r="E64" s="17" t="inlineStr">
        <is>
          <t>Crude 100</t>
        </is>
      </c>
      <c r="F64" s="18" t="n">
        <v>330220</v>
      </c>
      <c r="G64" s="18">
        <f>F64*0.8</f>
        <v/>
      </c>
      <c r="H64" s="18">
        <f>SUM(G64:G65)</f>
        <v/>
      </c>
      <c r="I64" s="16" t="inlineStr">
        <is>
          <t>8cb1f5e9</t>
        </is>
      </c>
      <c r="J64" s="19" t="n">
        <v>456.1</v>
      </c>
      <c r="K64" s="18" t="n">
        <v>28743</v>
      </c>
      <c r="L64" s="18">
        <f>SUM(K64:K64)</f>
        <v/>
      </c>
      <c r="M64" s="21">
        <f>MIN(K64,MAX(0,$H$64-(L64-K64)))/$H$64</f>
        <v/>
      </c>
      <c r="N64" s="15">
        <f>IF(COUNTIF($I$2:$I$182,I64)&gt;1,"Yes","No")</f>
        <v/>
      </c>
    </row>
    <row r="65">
      <c r="A65" s="2" t="n"/>
      <c r="B65" s="3" t="inlineStr">
        <is>
          <t>4f22984e</t>
        </is>
      </c>
      <c r="C65" s="4" t="inlineStr">
        <is>
          <t>Batman Refinery</t>
        </is>
      </c>
      <c r="D65" s="3" t="inlineStr">
        <is>
          <t>u_0103</t>
        </is>
      </c>
      <c r="E65" s="4" t="inlineStr">
        <is>
          <t>Crude 1100</t>
        </is>
      </c>
      <c r="F65" s="5" t="n">
        <v>766727</v>
      </c>
      <c r="G65" s="5">
        <f>F65*0.8</f>
        <v/>
      </c>
      <c r="H65" s="5" t="n"/>
      <c r="I65" s="3" t="inlineStr">
        <is>
          <t>d4c77b69</t>
        </is>
      </c>
      <c r="J65" s="11" t="n">
        <v>470.2</v>
      </c>
      <c r="K65" s="5" t="n">
        <v>413867</v>
      </c>
      <c r="L65" s="5">
        <f>SUM(K64:K65)</f>
        <v/>
      </c>
      <c r="M65" s="20">
        <f>MIN(K65,MAX(0,$H$64-(L65-K65)))/$H$64</f>
        <v/>
      </c>
      <c r="N65" s="2">
        <f>IF(COUNTIF($I$2:$I$182,I65)&gt;1,"Yes","No")</f>
        <v/>
      </c>
    </row>
    <row r="66">
      <c r="A66" s="2" t="n"/>
      <c r="B66" s="3" t="inlineStr">
        <is>
          <t>4f22984e</t>
        </is>
      </c>
      <c r="C66" s="4" t="inlineStr">
        <is>
          <t>Batman Refinery</t>
        </is>
      </c>
      <c r="D66" s="3" t="n"/>
      <c r="E66" s="4" t="n"/>
      <c r="F66" s="5" t="n"/>
      <c r="G66" s="5" t="n"/>
      <c r="H66" s="5" t="n"/>
      <c r="I66" s="3" t="inlineStr">
        <is>
          <t>7c408615</t>
        </is>
      </c>
      <c r="J66" s="11" t="n">
        <v>1028</v>
      </c>
      <c r="K66" s="5" t="n">
        <v>9476257</v>
      </c>
      <c r="L66" s="5">
        <f>SUM(K64:K66)</f>
        <v/>
      </c>
      <c r="M66" s="20">
        <f>MIN(K66,MAX(0,$H$64-(L66-K66)))/$H$64</f>
        <v/>
      </c>
      <c r="N66" s="2">
        <f>IF(COUNTIF($I$2:$I$182,I66)&gt;1,"Yes","No")</f>
        <v/>
      </c>
    </row>
    <row r="67">
      <c r="A67" s="15" t="n">
        <v>34</v>
      </c>
      <c r="B67" s="16" t="inlineStr">
        <is>
          <t>57c8a769</t>
        </is>
      </c>
      <c r="C67" s="17" t="inlineStr">
        <is>
          <t>Trzebinia Refinery</t>
        </is>
      </c>
      <c r="D67" s="16" t="inlineStr">
        <is>
          <t>u_0110</t>
        </is>
      </c>
      <c r="E67" s="17" t="inlineStr">
        <is>
          <t>Crude</t>
        </is>
      </c>
      <c r="F67" s="18" t="n">
        <v>360218</v>
      </c>
      <c r="G67" s="18">
        <f>F67*0.8</f>
        <v/>
      </c>
      <c r="H67" s="18">
        <f>SUM(G67:G67)</f>
        <v/>
      </c>
      <c r="I67" s="16" t="inlineStr">
        <is>
          <t>8a27ed79</t>
        </is>
      </c>
      <c r="J67" s="19" t="n">
        <v>473</v>
      </c>
      <c r="K67" s="18" t="n">
        <v>143826</v>
      </c>
      <c r="L67" s="18">
        <f>SUM(K67:K67)</f>
        <v/>
      </c>
      <c r="M67" s="21">
        <f>MIN(K67,MAX(0,$H$67-(L67-K67)))/$H$67</f>
        <v/>
      </c>
      <c r="N67" s="15">
        <f>IF(COUNTIF($I$2:$I$182,I67)&gt;1,"Yes","No")</f>
        <v/>
      </c>
    </row>
    <row r="68">
      <c r="A68" s="2" t="n"/>
      <c r="B68" s="3" t="inlineStr">
        <is>
          <t>57c8a769</t>
        </is>
      </c>
      <c r="C68" s="4" t="inlineStr">
        <is>
          <t>Trzebinia Refinery</t>
        </is>
      </c>
      <c r="D68" s="3" t="n"/>
      <c r="E68" s="4" t="n"/>
      <c r="F68" s="5" t="n"/>
      <c r="G68" s="5" t="n"/>
      <c r="H68" s="5" t="n"/>
      <c r="I68" s="3" t="inlineStr">
        <is>
          <t>5d688dfc</t>
        </is>
      </c>
      <c r="J68" s="11" t="n">
        <v>474.4</v>
      </c>
      <c r="K68" s="5" t="n">
        <v>37538991</v>
      </c>
      <c r="L68" s="5">
        <f>SUM(K67:K68)</f>
        <v/>
      </c>
      <c r="M68" s="20">
        <f>MIN(K68,MAX(0,$H$67-(L68-K68)))/$H$67</f>
        <v/>
      </c>
      <c r="N68" s="2">
        <f>IF(COUNTIF($I$2:$I$182,I68)&gt;1,"Yes","No")</f>
        <v/>
      </c>
    </row>
    <row r="69">
      <c r="A69" s="15" t="n">
        <v>35</v>
      </c>
      <c r="B69" s="16" t="inlineStr">
        <is>
          <t>58b886ef</t>
        </is>
      </c>
      <c r="C69" s="17" t="inlineStr">
        <is>
          <t>Iplom Refinery</t>
        </is>
      </c>
      <c r="D69" s="16" t="inlineStr">
        <is>
          <t>u_0112</t>
        </is>
      </c>
      <c r="E69" s="17" t="inlineStr">
        <is>
          <t>Topping U100</t>
        </is>
      </c>
      <c r="F69" s="18" t="n">
        <v>1694205</v>
      </c>
      <c r="G69" s="18">
        <f>F69*0.8</f>
        <v/>
      </c>
      <c r="H69" s="18">
        <f>SUM(G69:G69)</f>
        <v/>
      </c>
      <c r="I69" s="16" t="inlineStr">
        <is>
          <t>ab338597</t>
        </is>
      </c>
      <c r="J69" s="19" t="n">
        <v>19.5</v>
      </c>
      <c r="K69" s="18" t="n">
        <v>7690096</v>
      </c>
      <c r="L69" s="18">
        <f>SUM(K69:K69)</f>
        <v/>
      </c>
      <c r="M69" s="21">
        <f>MIN(K69,MAX(0,$H$69-(L69-K69)))/$H$69</f>
        <v/>
      </c>
      <c r="N69" s="15">
        <f>IF(COUNTIF($I$2:$I$182,I69)&gt;1,"Yes","No")</f>
        <v/>
      </c>
    </row>
    <row r="70">
      <c r="A70" s="15" t="n">
        <v>36</v>
      </c>
      <c r="B70" s="16" t="inlineStr">
        <is>
          <t>5a910042</t>
        </is>
      </c>
      <c r="C70" s="17" t="inlineStr">
        <is>
          <t>Izmit Refinery</t>
        </is>
      </c>
      <c r="D70" s="16" t="inlineStr">
        <is>
          <t>u_0114</t>
        </is>
      </c>
      <c r="E70" s="17" t="inlineStr">
        <is>
          <t>Crude (Plant 2)</t>
        </is>
      </c>
      <c r="F70" s="18" t="n">
        <v>2038029</v>
      </c>
      <c r="G70" s="18">
        <f>F70*0.8</f>
        <v/>
      </c>
      <c r="H70" s="18">
        <f>SUM(G70:G72)</f>
        <v/>
      </c>
      <c r="I70" s="16" t="inlineStr">
        <is>
          <t>7c408615</t>
        </is>
      </c>
      <c r="J70" s="19" t="n">
        <v>0.7</v>
      </c>
      <c r="K70" s="18" t="n">
        <v>9476257</v>
      </c>
      <c r="L70" s="18">
        <f>SUM(K70:K70)</f>
        <v/>
      </c>
      <c r="M70" s="21">
        <f>MIN(K70,MAX(0,$H$70-(L70-K70)))/$H$70</f>
        <v/>
      </c>
      <c r="N70" s="15">
        <f>IF(COUNTIF($I$2:$I$182,I70)&gt;1,"Yes","No")</f>
        <v/>
      </c>
    </row>
    <row r="71">
      <c r="A71" s="2" t="n"/>
      <c r="B71" s="3" t="inlineStr">
        <is>
          <t>5a910042</t>
        </is>
      </c>
      <c r="C71" s="4" t="inlineStr">
        <is>
          <t>Izmit Refinery</t>
        </is>
      </c>
      <c r="D71" s="3" t="inlineStr">
        <is>
          <t>u_0115</t>
        </is>
      </c>
      <c r="E71" s="4" t="inlineStr">
        <is>
          <t>Crude (Plant 25)</t>
        </is>
      </c>
      <c r="F71" s="5" t="n">
        <v>4982956</v>
      </c>
      <c r="G71" s="5">
        <f>F71*0.8</f>
        <v/>
      </c>
      <c r="H71" s="5" t="n"/>
      <c r="I71" s="3" t="n"/>
      <c r="J71" s="11" t="n"/>
      <c r="K71" s="5" t="n"/>
      <c r="L71" s="5" t="n"/>
    </row>
    <row r="72">
      <c r="A72" s="2" t="n"/>
      <c r="B72" s="3" t="inlineStr">
        <is>
          <t>5a910042</t>
        </is>
      </c>
      <c r="C72" s="4" t="inlineStr">
        <is>
          <t>Izmit Refinery</t>
        </is>
      </c>
      <c r="D72" s="3" t="inlineStr">
        <is>
          <t>u_0116</t>
        </is>
      </c>
      <c r="E72" s="4" t="inlineStr">
        <is>
          <t>Crude (Plant 5)</t>
        </is>
      </c>
      <c r="F72" s="5" t="n">
        <v>4230530</v>
      </c>
      <c r="G72" s="5">
        <f>F72*0.8</f>
        <v/>
      </c>
      <c r="H72" s="5" t="n"/>
      <c r="I72" s="3" t="n"/>
      <c r="J72" s="11" t="n"/>
      <c r="K72" s="5" t="n"/>
      <c r="L72" s="5" t="n"/>
    </row>
    <row r="73">
      <c r="A73" s="15" t="n">
        <v>37</v>
      </c>
      <c r="B73" s="16" t="inlineStr">
        <is>
          <t>62086957</t>
        </is>
      </c>
      <c r="C73" s="17" t="inlineStr">
        <is>
          <t>Antwerpen Refinery</t>
        </is>
      </c>
      <c r="D73" s="16" t="inlineStr">
        <is>
          <t>u_0125</t>
        </is>
      </c>
      <c r="E73" s="17" t="inlineStr">
        <is>
          <t>CDU 3 (Crude) (J63)</t>
        </is>
      </c>
      <c r="F73" s="18" t="n">
        <v>7524264</v>
      </c>
      <c r="G73" s="18">
        <f>F73*0.8</f>
        <v/>
      </c>
      <c r="H73" s="18">
        <f>SUM(G73:G74)</f>
        <v/>
      </c>
      <c r="I73" s="16" t="inlineStr">
        <is>
          <t>a138d843</t>
        </is>
      </c>
      <c r="J73" s="19" t="n">
        <v>2</v>
      </c>
      <c r="K73" s="18" t="n">
        <v>151859</v>
      </c>
      <c r="L73" s="18">
        <f>SUM(K73:K73)</f>
        <v/>
      </c>
      <c r="M73" s="21">
        <f>MIN(K73,MAX(0,$H$73-(L73-K73)))/$H$73</f>
        <v/>
      </c>
      <c r="N73" s="15">
        <f>IF(COUNTIF($I$2:$I$182,I73)&gt;1,"Yes","No")</f>
        <v/>
      </c>
    </row>
    <row r="74">
      <c r="A74" s="2" t="n"/>
      <c r="B74" s="3" t="inlineStr">
        <is>
          <t>62086957</t>
        </is>
      </c>
      <c r="C74" s="4" t="inlineStr">
        <is>
          <t>Antwerpen Refinery</t>
        </is>
      </c>
      <c r="D74" s="3" t="inlineStr">
        <is>
          <t>u_0126</t>
        </is>
      </c>
      <c r="E74" s="4" t="inlineStr">
        <is>
          <t>CDU 4 (Crude)</t>
        </is>
      </c>
      <c r="F74" s="5" t="n">
        <v>10514037</v>
      </c>
      <c r="G74" s="5">
        <f>F74*0.8</f>
        <v/>
      </c>
      <c r="H74" s="5" t="n"/>
      <c r="I74" s="3" t="inlineStr">
        <is>
          <t>09ce0874</t>
        </is>
      </c>
      <c r="J74" s="11" t="n">
        <v>68</v>
      </c>
      <c r="K74" s="5" t="n">
        <v>921238</v>
      </c>
      <c r="L74" s="5">
        <f>SUM(K73:K74)</f>
        <v/>
      </c>
      <c r="M74" s="20">
        <f>MIN(K74,MAX(0,$H$73-(L74-K74)))/$H$73</f>
        <v/>
      </c>
      <c r="N74" s="2">
        <f>IF(COUNTIF($I$2:$I$182,I74)&gt;1,"Yes","No")</f>
        <v/>
      </c>
    </row>
    <row r="75">
      <c r="A75" s="2" t="n"/>
      <c r="B75" s="3" t="inlineStr">
        <is>
          <t>62086957</t>
        </is>
      </c>
      <c r="C75" s="4" t="inlineStr">
        <is>
          <t>Antwerpen Refinery</t>
        </is>
      </c>
      <c r="D75" s="3" t="n"/>
      <c r="E75" s="4" t="n"/>
      <c r="F75" s="5" t="n"/>
      <c r="G75" s="5" t="n"/>
      <c r="H75" s="5" t="n"/>
      <c r="I75" s="3" t="inlineStr">
        <is>
          <t>7ad6df35</t>
        </is>
      </c>
      <c r="J75" s="11" t="n">
        <v>71.40000000000001</v>
      </c>
      <c r="K75" s="5" t="n">
        <v>64173052</v>
      </c>
      <c r="L75" s="5">
        <f>SUM(K73:K75)</f>
        <v/>
      </c>
      <c r="M75" s="20">
        <f>MIN(K75,MAX(0,$H$73-(L75-K75)))/$H$73</f>
        <v/>
      </c>
      <c r="N75" s="2">
        <f>IF(COUNTIF($I$2:$I$182,I75)&gt;1,"Yes","No")</f>
        <v/>
      </c>
    </row>
    <row r="76">
      <c r="A76" s="15" t="n">
        <v>38</v>
      </c>
      <c r="B76" s="16" t="inlineStr">
        <is>
          <t>6a54ad25</t>
        </is>
      </c>
      <c r="C76" s="17" t="inlineStr">
        <is>
          <t>Gelsenkirchen Scholven Refinery</t>
        </is>
      </c>
      <c r="D76" s="16" t="inlineStr">
        <is>
          <t>u_0134</t>
        </is>
      </c>
      <c r="E76" s="17" t="inlineStr">
        <is>
          <t>A 8 Topping Unit</t>
        </is>
      </c>
      <c r="F76" s="18" t="n">
        <v>3488069</v>
      </c>
      <c r="G76" s="18">
        <f>F76*0.8</f>
        <v/>
      </c>
      <c r="H76" s="18">
        <f>SUM(G76:G77)</f>
        <v/>
      </c>
      <c r="I76" s="16" t="inlineStr">
        <is>
          <t>a138d843</t>
        </is>
      </c>
      <c r="J76" s="19" t="n">
        <v>189</v>
      </c>
      <c r="K76" s="18" t="n">
        <v>151859</v>
      </c>
      <c r="L76" s="18">
        <f>SUM(K76:K76)</f>
        <v/>
      </c>
      <c r="M76" s="21">
        <f>MIN(K76,MAX(0,$H$76-(L76-K76)))/$H$76</f>
        <v/>
      </c>
      <c r="N76" s="15">
        <f>IF(COUNTIF($I$2:$I$182,I76)&gt;1,"Yes","No")</f>
        <v/>
      </c>
    </row>
    <row r="77">
      <c r="A77" s="2" t="n"/>
      <c r="B77" s="3" t="inlineStr">
        <is>
          <t>6a54ad25</t>
        </is>
      </c>
      <c r="C77" s="4" t="inlineStr">
        <is>
          <t>Gelsenkirchen Scholven Refinery</t>
        </is>
      </c>
      <c r="D77" s="3" t="inlineStr">
        <is>
          <t>u_0135</t>
        </is>
      </c>
      <c r="E77" s="4" t="inlineStr">
        <is>
          <t>A7 Topping Unit</t>
        </is>
      </c>
      <c r="F77" s="5" t="n">
        <v>3488069</v>
      </c>
      <c r="G77" s="5">
        <f>F77*0.8</f>
        <v/>
      </c>
      <c r="H77" s="5" t="n"/>
      <c r="I77" s="3" t="inlineStr">
        <is>
          <t>09ce0874</t>
        </is>
      </c>
      <c r="J77" s="11" t="n">
        <v>189.1</v>
      </c>
      <c r="K77" s="5" t="n">
        <v>921238</v>
      </c>
      <c r="L77" s="5">
        <f>SUM(K76:K77)</f>
        <v/>
      </c>
      <c r="M77" s="20">
        <f>MIN(K77,MAX(0,$H$76-(L77-K77)))/$H$76</f>
        <v/>
      </c>
      <c r="N77" s="2">
        <f>IF(COUNTIF($I$2:$I$182,I77)&gt;1,"Yes","No")</f>
        <v/>
      </c>
    </row>
    <row r="78">
      <c r="A78" s="2" t="n"/>
      <c r="B78" s="3" t="inlineStr">
        <is>
          <t>6a54ad25</t>
        </is>
      </c>
      <c r="C78" s="4" t="inlineStr">
        <is>
          <t>Gelsenkirchen Scholven Refinery</t>
        </is>
      </c>
      <c r="D78" s="3" t="n"/>
      <c r="E78" s="4" t="n"/>
      <c r="F78" s="5" t="n"/>
      <c r="G78" s="5" t="n"/>
      <c r="H78" s="5" t="n"/>
      <c r="I78" s="3" t="inlineStr">
        <is>
          <t>7ad6df35</t>
        </is>
      </c>
      <c r="J78" s="11" t="n">
        <v>191.7</v>
      </c>
      <c r="K78" s="5" t="n">
        <v>64173052</v>
      </c>
      <c r="L78" s="5">
        <f>SUM(K76:K78)</f>
        <v/>
      </c>
      <c r="M78" s="20">
        <f>MIN(K78,MAX(0,$H$76-(L78-K78)))/$H$76</f>
        <v/>
      </c>
      <c r="N78" s="2">
        <f>IF(COUNTIF($I$2:$I$182,I78)&gt;1,"Yes","No")</f>
        <v/>
      </c>
    </row>
    <row r="79">
      <c r="A79" s="15" t="n">
        <v>39</v>
      </c>
      <c r="B79" s="16" t="inlineStr">
        <is>
          <t>6d03de95</t>
        </is>
      </c>
      <c r="C79" s="17" t="inlineStr">
        <is>
          <t>Heide Refinery</t>
        </is>
      </c>
      <c r="D79" s="16" t="inlineStr">
        <is>
          <t>u_0139</t>
        </is>
      </c>
      <c r="E79" s="17" t="inlineStr">
        <is>
          <t>Topping Unit 5</t>
        </is>
      </c>
      <c r="F79" s="18" t="n">
        <v>2690796</v>
      </c>
      <c r="G79" s="18">
        <f>F79*0.8</f>
        <v/>
      </c>
      <c r="H79" s="18">
        <f>SUM(G79:G80)</f>
        <v/>
      </c>
      <c r="I79" s="16" t="inlineStr">
        <is>
          <t>1cd9103c</t>
        </is>
      </c>
      <c r="J79" s="19" t="n">
        <v>28.5</v>
      </c>
      <c r="K79" s="18" t="n">
        <v>2827210</v>
      </c>
      <c r="L79" s="18">
        <f>SUM(K79:K79)</f>
        <v/>
      </c>
      <c r="M79" s="21">
        <f>MIN(K79,MAX(0,$H$79-(L79-K79)))/$H$79</f>
        <v/>
      </c>
      <c r="N79" s="15">
        <f>IF(COUNTIF($I$2:$I$182,I79)&gt;1,"Yes","No")</f>
        <v/>
      </c>
    </row>
    <row r="80">
      <c r="A80" s="2" t="n"/>
      <c r="B80" s="3" t="inlineStr">
        <is>
          <t>6d03de95</t>
        </is>
      </c>
      <c r="C80" s="4" t="inlineStr">
        <is>
          <t>Heide Refinery</t>
        </is>
      </c>
      <c r="D80" s="3" t="inlineStr">
        <is>
          <t>u_0140</t>
        </is>
      </c>
      <c r="E80" s="4" t="inlineStr">
        <is>
          <t>Topping Unit 6</t>
        </is>
      </c>
      <c r="F80" s="5" t="n">
        <v>1793864</v>
      </c>
      <c r="G80" s="5">
        <f>F80*0.8</f>
        <v/>
      </c>
      <c r="H80" s="5" t="n"/>
      <c r="I80" s="3" t="inlineStr">
        <is>
          <t>19240ddd</t>
        </is>
      </c>
      <c r="J80" s="11" t="n">
        <v>89.7</v>
      </c>
      <c r="K80" s="5" t="n">
        <v>15460532</v>
      </c>
      <c r="L80" s="5">
        <f>SUM(K79:K80)</f>
        <v/>
      </c>
      <c r="M80" s="20">
        <f>MIN(K80,MAX(0,$H$79-(L80-K80)))/$H$79</f>
        <v/>
      </c>
      <c r="N80" s="2">
        <f>IF(COUNTIF($I$2:$I$182,I80)&gt;1,"Yes","No")</f>
        <v/>
      </c>
    </row>
    <row r="81">
      <c r="A81" s="15" t="n">
        <v>40</v>
      </c>
      <c r="B81" s="16" t="inlineStr">
        <is>
          <t>70d5316a</t>
        </is>
      </c>
      <c r="C81" s="17" t="inlineStr">
        <is>
          <t>Bayernoil Neustadt Refinery</t>
        </is>
      </c>
      <c r="D81" s="16" t="inlineStr">
        <is>
          <t>u_0142</t>
        </is>
      </c>
      <c r="E81" s="17" t="inlineStr">
        <is>
          <t>Topping 1</t>
        </is>
      </c>
      <c r="F81" s="18" t="n">
        <v>4285342</v>
      </c>
      <c r="G81" s="18">
        <f>F81*0.8</f>
        <v/>
      </c>
      <c r="H81" s="18">
        <f>SUM(G81:G81)</f>
        <v/>
      </c>
      <c r="I81" s="16" t="inlineStr">
        <is>
          <t>ae36b05f</t>
        </is>
      </c>
      <c r="J81" s="19" t="n">
        <v>383.8</v>
      </c>
      <c r="K81" s="18" t="n">
        <v>40943147</v>
      </c>
      <c r="L81" s="18">
        <f>SUM(K81:K81)</f>
        <v/>
      </c>
      <c r="M81" s="21">
        <f>MIN(K81,MAX(0,$H$81-(L81-K81)))/$H$81</f>
        <v/>
      </c>
      <c r="N81" s="15">
        <f>IF(COUNTIF($I$2:$I$182,I81)&gt;1,"Yes","No")</f>
        <v/>
      </c>
    </row>
    <row r="82">
      <c r="A82" s="15" t="n">
        <v>41</v>
      </c>
      <c r="B82" s="16" t="inlineStr">
        <is>
          <t>74a48812</t>
        </is>
      </c>
      <c r="C82" s="17" t="inlineStr">
        <is>
          <t>Rijeka Refinery</t>
        </is>
      </c>
      <c r="D82" s="16" t="inlineStr">
        <is>
          <t>u_0147</t>
        </is>
      </c>
      <c r="E82" s="17" t="inlineStr">
        <is>
          <t>CDU-Topping 3</t>
        </is>
      </c>
      <c r="F82" s="18" t="n">
        <v>4484660</v>
      </c>
      <c r="G82" s="18">
        <f>F82*0.8</f>
        <v/>
      </c>
      <c r="H82" s="18">
        <f>SUM(G82:G82)</f>
        <v/>
      </c>
      <c r="I82" s="16" t="inlineStr">
        <is>
          <t>a6813687</t>
        </is>
      </c>
      <c r="J82" s="19" t="n">
        <v>3.2</v>
      </c>
      <c r="K82" s="18" t="n">
        <v>5709416</v>
      </c>
      <c r="L82" s="18">
        <f>SUM(K82:K82)</f>
        <v/>
      </c>
      <c r="M82" s="21">
        <f>MIN(K82,MAX(0,$H$82-(L82-K82)))/$H$82</f>
        <v/>
      </c>
      <c r="N82" s="15">
        <f>IF(COUNTIF($I$2:$I$182,I82)&gt;1,"Yes","No")</f>
        <v/>
      </c>
    </row>
    <row r="83">
      <c r="A83" s="15" t="n">
        <v>42</v>
      </c>
      <c r="B83" s="16" t="inlineStr">
        <is>
          <t>765d6912</t>
        </is>
      </c>
      <c r="C83" s="17" t="inlineStr">
        <is>
          <t>BP Rotterdam Refinery</t>
        </is>
      </c>
      <c r="D83" s="16" t="inlineStr">
        <is>
          <t>u_0150</t>
        </is>
      </c>
      <c r="E83" s="17" t="inlineStr">
        <is>
          <t>CDU 3 (Sweet)</t>
        </is>
      </c>
      <c r="F83" s="18" t="n">
        <v>9965912</v>
      </c>
      <c r="G83" s="18">
        <f>F83*0.8</f>
        <v/>
      </c>
      <c r="H83" s="18">
        <f>SUM(G83:G84)</f>
        <v/>
      </c>
      <c r="I83" s="16" t="inlineStr">
        <is>
          <t>846fd219</t>
        </is>
      </c>
      <c r="J83" s="19" t="n">
        <v>1.2</v>
      </c>
      <c r="K83" s="18" t="n">
        <v>1086900</v>
      </c>
      <c r="L83" s="18">
        <f>SUM(K83:K83)</f>
        <v/>
      </c>
      <c r="M83" s="21">
        <f>MIN(K83,MAX(0,$H$83-(L83-K83)))/$H$83</f>
        <v/>
      </c>
      <c r="N83" s="15">
        <f>IF(COUNTIF($I$2:$I$182,I83)&gt;1,"Yes","No")</f>
        <v/>
      </c>
    </row>
    <row r="84">
      <c r="A84" s="2" t="n"/>
      <c r="B84" s="3" t="inlineStr">
        <is>
          <t>765d6912</t>
        </is>
      </c>
      <c r="C84" s="4" t="inlineStr">
        <is>
          <t>BP Rotterdam Refinery</t>
        </is>
      </c>
      <c r="D84" s="3" t="inlineStr">
        <is>
          <t>u_0151</t>
        </is>
      </c>
      <c r="E84" s="4" t="inlineStr">
        <is>
          <t>CDU 4 (Sour)</t>
        </is>
      </c>
      <c r="F84" s="5" t="n">
        <v>9965912</v>
      </c>
      <c r="G84" s="5">
        <f>F84*0.8</f>
        <v/>
      </c>
      <c r="H84" s="5" t="n"/>
      <c r="I84" s="3" t="inlineStr">
        <is>
          <t>aded2aa9</t>
        </is>
      </c>
      <c r="J84" s="11" t="n">
        <v>2.3</v>
      </c>
      <c r="K84" s="5" t="n">
        <v>9664014</v>
      </c>
      <c r="L84" s="5">
        <f>SUM(K83:K84)</f>
        <v/>
      </c>
      <c r="M84" s="20">
        <f>MIN(K84,MAX(0,$H$83-(L84-K84)))/$H$83</f>
        <v/>
      </c>
      <c r="N84" s="2">
        <f>IF(COUNTIF($I$2:$I$182,I84)&gt;1,"Yes","No")</f>
        <v/>
      </c>
    </row>
    <row r="85">
      <c r="A85" s="2" t="n"/>
      <c r="B85" s="3" t="inlineStr">
        <is>
          <t>765d6912</t>
        </is>
      </c>
      <c r="C85" s="4" t="inlineStr">
        <is>
          <t>BP Rotterdam Refinery</t>
        </is>
      </c>
      <c r="D85" s="3" t="n"/>
      <c r="E85" s="4" t="n"/>
      <c r="F85" s="5" t="n"/>
      <c r="G85" s="5" t="n"/>
      <c r="H85" s="5" t="n"/>
      <c r="I85" s="3" t="inlineStr">
        <is>
          <t>9b36065a</t>
        </is>
      </c>
      <c r="J85" s="11" t="n">
        <v>6.9</v>
      </c>
      <c r="K85" s="5" t="n">
        <v>18985451</v>
      </c>
      <c r="L85" s="5">
        <f>SUM(K83:K85)</f>
        <v/>
      </c>
      <c r="M85" s="20">
        <f>MIN(K85,MAX(0,$H$83-(L85-K85)))/$H$83</f>
        <v/>
      </c>
      <c r="N85" s="2">
        <f>IF(COUNTIF($I$2:$I$182,I85)&gt;1,"Yes","No")</f>
        <v/>
      </c>
    </row>
    <row r="86">
      <c r="A86" s="15" t="n">
        <v>43</v>
      </c>
      <c r="B86" s="16" t="inlineStr">
        <is>
          <t>7a003339</t>
        </is>
      </c>
      <c r="C86" s="17" t="inlineStr">
        <is>
          <t>Mongstad Refinery</t>
        </is>
      </c>
      <c r="D86" s="16" t="inlineStr">
        <is>
          <t>u_0154</t>
        </is>
      </c>
      <c r="E86" s="17" t="inlineStr">
        <is>
          <t>Crude</t>
        </is>
      </c>
      <c r="F86" s="18" t="n">
        <v>9965912</v>
      </c>
      <c r="G86" s="18">
        <f>F86*0.8</f>
        <v/>
      </c>
      <c r="H86" s="18">
        <f>SUM(G86:G86)</f>
        <v/>
      </c>
      <c r="I86" s="16" t="inlineStr">
        <is>
          <t>87da84dc</t>
        </is>
      </c>
      <c r="J86" s="19" t="n">
        <v>452.1</v>
      </c>
      <c r="K86" s="18" t="n">
        <v>7211193</v>
      </c>
      <c r="L86" s="18">
        <f>SUM(K86:K86)</f>
        <v/>
      </c>
      <c r="M86" s="21">
        <f>MIN(K86,MAX(0,$H$86-(L86-K86)))/$H$86</f>
        <v/>
      </c>
      <c r="N86" s="15">
        <f>IF(COUNTIF($I$2:$I$182,I86)&gt;1,"Yes","No")</f>
        <v/>
      </c>
    </row>
    <row r="87">
      <c r="A87" s="2" t="n"/>
      <c r="B87" s="3" t="inlineStr">
        <is>
          <t>7a003339</t>
        </is>
      </c>
      <c r="C87" s="4" t="inlineStr">
        <is>
          <t>Mongstad Refinery</t>
        </is>
      </c>
      <c r="D87" s="3" t="n"/>
      <c r="E87" s="4" t="n"/>
      <c r="F87" s="5" t="n"/>
      <c r="G87" s="5" t="n"/>
      <c r="H87" s="5" t="n"/>
      <c r="I87" s="3" t="inlineStr">
        <is>
          <t>5002acae</t>
        </is>
      </c>
      <c r="J87" s="11" t="n">
        <v>520.9</v>
      </c>
      <c r="K87" s="5" t="n">
        <v>8329977</v>
      </c>
      <c r="L87" s="5">
        <f>SUM(K86:K87)</f>
        <v/>
      </c>
      <c r="M87" s="20">
        <f>MIN(K87,MAX(0,$H$86-(L87-K87)))/$H$86</f>
        <v/>
      </c>
      <c r="N87" s="2">
        <f>IF(COUNTIF($I$2:$I$182,I87)&gt;1,"Yes","No")</f>
        <v/>
      </c>
    </row>
    <row r="88">
      <c r="A88" s="15" t="n">
        <v>44</v>
      </c>
      <c r="B88" s="16" t="inlineStr">
        <is>
          <t>7a3911e7</t>
        </is>
      </c>
      <c r="C88" s="17" t="inlineStr">
        <is>
          <t>Antwerp Refinery</t>
        </is>
      </c>
      <c r="D88" s="16" t="inlineStr">
        <is>
          <t>u_0155</t>
        </is>
      </c>
      <c r="E88" s="17" t="inlineStr">
        <is>
          <t>Crude Unit</t>
        </is>
      </c>
      <c r="F88" s="18" t="n">
        <v>15397334</v>
      </c>
      <c r="G88" s="18">
        <f>F88*0.8</f>
        <v/>
      </c>
      <c r="H88" s="18">
        <f>SUM(G88:G88)</f>
        <v/>
      </c>
      <c r="I88" s="16" t="inlineStr">
        <is>
          <t>a138d843</t>
        </is>
      </c>
      <c r="J88" s="19" t="n">
        <v>2.6</v>
      </c>
      <c r="K88" s="18" t="n">
        <v>151859</v>
      </c>
      <c r="L88" s="18">
        <f>SUM(K88:K88)</f>
        <v/>
      </c>
      <c r="M88" s="21">
        <f>MIN(K88,MAX(0,$H$88-(L88-K88)))/$H$88</f>
        <v/>
      </c>
      <c r="N88" s="15">
        <f>IF(COUNTIF($I$2:$I$182,I88)&gt;1,"Yes","No")</f>
        <v/>
      </c>
    </row>
    <row r="89">
      <c r="A89" s="2" t="n"/>
      <c r="B89" s="3" t="inlineStr">
        <is>
          <t>7a3911e7</t>
        </is>
      </c>
      <c r="C89" s="4" t="inlineStr">
        <is>
          <t>Antwerp Refinery</t>
        </is>
      </c>
      <c r="D89" s="3" t="n"/>
      <c r="E89" s="4" t="n"/>
      <c r="F89" s="5" t="n"/>
      <c r="G89" s="5" t="n"/>
      <c r="H89" s="5" t="n"/>
      <c r="I89" s="3" t="inlineStr">
        <is>
          <t>09ce0874</t>
        </is>
      </c>
      <c r="J89" s="11" t="n">
        <v>69.2</v>
      </c>
      <c r="K89" s="5" t="n">
        <v>921238</v>
      </c>
      <c r="L89" s="5">
        <f>SUM(K88:K89)</f>
        <v/>
      </c>
      <c r="M89" s="20">
        <f>MIN(K89,MAX(0,$H$88-(L89-K89)))/$H$88</f>
        <v/>
      </c>
      <c r="N89" s="2">
        <f>IF(COUNTIF($I$2:$I$182,I89)&gt;1,"Yes","No")</f>
        <v/>
      </c>
    </row>
    <row r="90">
      <c r="A90" s="2" t="n"/>
      <c r="B90" s="3" t="inlineStr">
        <is>
          <t>7a3911e7</t>
        </is>
      </c>
      <c r="C90" s="4" t="inlineStr">
        <is>
          <t>Antwerp Refinery</t>
        </is>
      </c>
      <c r="D90" s="3" t="n"/>
      <c r="E90" s="4" t="n"/>
      <c r="F90" s="5" t="n"/>
      <c r="G90" s="5" t="n"/>
      <c r="H90" s="5" t="n"/>
      <c r="I90" s="3" t="inlineStr">
        <is>
          <t>7ad6df35</t>
        </is>
      </c>
      <c r="J90" s="11" t="n">
        <v>72.7</v>
      </c>
      <c r="K90" s="5" t="n">
        <v>64173052</v>
      </c>
      <c r="L90" s="5">
        <f>SUM(K88:K90)</f>
        <v/>
      </c>
      <c r="M90" s="20">
        <f>MIN(K90,MAX(0,$H$88-(L90-K90)))/$H$88</f>
        <v/>
      </c>
      <c r="N90" s="2">
        <f>IF(COUNTIF($I$2:$I$182,I90)&gt;1,"Yes","No")</f>
        <v/>
      </c>
    </row>
    <row r="91">
      <c r="A91" s="15" t="n">
        <v>45</v>
      </c>
      <c r="B91" s="16" t="inlineStr">
        <is>
          <t>7ba4e4be</t>
        </is>
      </c>
      <c r="C91" s="17" t="inlineStr">
        <is>
          <t>Rakovski Refinery</t>
        </is>
      </c>
      <c r="D91" s="16" t="inlineStr">
        <is>
          <t>u_0157</t>
        </is>
      </c>
      <c r="E91" s="17" t="inlineStr">
        <is>
          <t>Crude 1</t>
        </is>
      </c>
      <c r="F91" s="18" t="n">
        <v>80026</v>
      </c>
      <c r="G91" s="18">
        <f>F91*0.8</f>
        <v/>
      </c>
      <c r="H91" s="18">
        <f>SUM(G91:G93)</f>
        <v/>
      </c>
      <c r="I91" s="16" t="inlineStr">
        <is>
          <t>d0fe845d</t>
        </is>
      </c>
      <c r="J91" s="19" t="n">
        <v>204.1</v>
      </c>
      <c r="K91" s="18" t="n">
        <v>52255</v>
      </c>
      <c r="L91" s="18">
        <f>SUM(K91:K91)</f>
        <v/>
      </c>
      <c r="M91" s="21">
        <f>MIN(K91,MAX(0,$H$91-(L91-K91)))/$H$91</f>
        <v/>
      </c>
      <c r="N91" s="15">
        <f>IF(COUNTIF($I$2:$I$182,I91)&gt;1,"Yes","No")</f>
        <v/>
      </c>
    </row>
    <row r="92">
      <c r="A92" s="2" t="n"/>
      <c r="B92" s="3" t="inlineStr">
        <is>
          <t>7ba4e4be</t>
        </is>
      </c>
      <c r="C92" s="4" t="inlineStr">
        <is>
          <t>Rakovski Refinery</t>
        </is>
      </c>
      <c r="D92" s="3" t="inlineStr">
        <is>
          <t>u_0158</t>
        </is>
      </c>
      <c r="E92" s="4" t="inlineStr">
        <is>
          <t>Crude 2</t>
        </is>
      </c>
      <c r="F92" s="5" t="n">
        <v>219250</v>
      </c>
      <c r="G92" s="5">
        <f>F92*0.8</f>
        <v/>
      </c>
      <c r="H92" s="5" t="n"/>
      <c r="I92" s="3" t="inlineStr">
        <is>
          <t>1e7daa53</t>
        </is>
      </c>
      <c r="J92" s="11" t="n">
        <v>207.6</v>
      </c>
      <c r="K92" s="5" t="n">
        <v>4466332</v>
      </c>
      <c r="L92" s="5">
        <f>SUM(K91:K92)</f>
        <v/>
      </c>
      <c r="M92" s="20">
        <f>MIN(K92,MAX(0,$H$91-(L92-K92)))/$H$91</f>
        <v/>
      </c>
      <c r="N92" s="2">
        <f>IF(COUNTIF($I$2:$I$182,I92)&gt;1,"Yes","No")</f>
        <v/>
      </c>
    </row>
    <row r="93">
      <c r="A93" s="2" t="n"/>
      <c r="B93" s="3" t="inlineStr">
        <is>
          <t>7ba4e4be</t>
        </is>
      </c>
      <c r="C93" s="4" t="inlineStr">
        <is>
          <t>Rakovski Refinery</t>
        </is>
      </c>
      <c r="D93" s="3" t="inlineStr">
        <is>
          <t>u_0159</t>
        </is>
      </c>
      <c r="E93" s="4" t="inlineStr">
        <is>
          <t>Crude and Vacuum 2</t>
        </is>
      </c>
      <c r="F93" s="5" t="n">
        <v>80026</v>
      </c>
      <c r="G93" s="5">
        <f>F93*0.8</f>
        <v/>
      </c>
      <c r="H93" s="5" t="n"/>
      <c r="I93" s="3" t="n"/>
      <c r="J93" s="11" t="n"/>
      <c r="K93" s="5" t="n"/>
      <c r="L93" s="5" t="n"/>
    </row>
    <row r="94">
      <c r="A94" s="15" t="n">
        <v>46</v>
      </c>
      <c r="B94" s="16" t="inlineStr">
        <is>
          <t>7ebca8e8</t>
        </is>
      </c>
      <c r="C94" s="17" t="inlineStr">
        <is>
          <t>Sannazzaro Refinery</t>
        </is>
      </c>
      <c r="D94" s="16" t="inlineStr">
        <is>
          <t>u_0163</t>
        </is>
      </c>
      <c r="E94" s="17" t="inlineStr">
        <is>
          <t>Topping 1 (Unit 53)</t>
        </is>
      </c>
      <c r="F94" s="18" t="n">
        <v>5780229</v>
      </c>
      <c r="G94" s="18">
        <f>F94*0.8</f>
        <v/>
      </c>
      <c r="H94" s="18">
        <f>SUM(G94:G95)</f>
        <v/>
      </c>
      <c r="I94" s="16" t="inlineStr">
        <is>
          <t>ab338597</t>
        </is>
      </c>
      <c r="J94" s="19" t="n">
        <v>76.90000000000001</v>
      </c>
      <c r="K94" s="18" t="n">
        <v>7690096</v>
      </c>
      <c r="L94" s="18">
        <f>SUM(K94:K94)</f>
        <v/>
      </c>
      <c r="M94" s="21">
        <f>MIN(K94,MAX(0,$H$94-(L94-K94)))/$H$94</f>
        <v/>
      </c>
      <c r="N94" s="15">
        <f>IF(COUNTIF($I$2:$I$182,I94)&gt;1,"Yes","No")</f>
        <v/>
      </c>
    </row>
    <row r="95">
      <c r="A95" s="2" t="n"/>
      <c r="B95" s="3" t="inlineStr">
        <is>
          <t>7ebca8e8</t>
        </is>
      </c>
      <c r="C95" s="4" t="inlineStr">
        <is>
          <t>Sannazzaro Refinery</t>
        </is>
      </c>
      <c r="D95" s="3" t="inlineStr">
        <is>
          <t>u_0164</t>
        </is>
      </c>
      <c r="E95" s="4" t="inlineStr">
        <is>
          <t>Topping Unit 2 (Unit 10)</t>
        </is>
      </c>
      <c r="F95" s="5" t="n">
        <v>6527672</v>
      </c>
      <c r="G95" s="5">
        <f>F95*0.8</f>
        <v/>
      </c>
      <c r="H95" s="5" t="n"/>
      <c r="I95" s="3" t="inlineStr">
        <is>
          <t>fb0b3578</t>
        </is>
      </c>
      <c r="J95" s="11" t="n">
        <v>96.2</v>
      </c>
      <c r="K95" s="5" t="n">
        <v>6134936</v>
      </c>
      <c r="L95" s="5">
        <f>SUM(K94:K95)</f>
        <v/>
      </c>
      <c r="M95" s="20">
        <f>MIN(K95,MAX(0,$H$94-(L95-K95)))/$H$94</f>
        <v/>
      </c>
      <c r="N95" s="2">
        <f>IF(COUNTIF($I$2:$I$182,I95)&gt;1,"Yes","No")</f>
        <v/>
      </c>
    </row>
    <row r="96">
      <c r="A96" s="15" t="n">
        <v>47</v>
      </c>
      <c r="B96" s="16" t="inlineStr">
        <is>
          <t>7ec4e655</t>
        </is>
      </c>
      <c r="C96" s="17" t="inlineStr">
        <is>
          <t>Apateu Refinery</t>
        </is>
      </c>
      <c r="D96" s="16" t="inlineStr">
        <is>
          <t>u_0165</t>
        </is>
      </c>
      <c r="E96" s="17" t="inlineStr">
        <is>
          <t>Atmospheric Distillation (DAV)</t>
        </is>
      </c>
      <c r="F96" s="18" t="n">
        <v>249148</v>
      </c>
      <c r="G96" s="18">
        <f>F96*0.8</f>
        <v/>
      </c>
      <c r="H96" s="18">
        <f>SUM(G96:G96)</f>
        <v/>
      </c>
      <c r="I96" s="16" t="inlineStr">
        <is>
          <t>a6813687</t>
        </is>
      </c>
      <c r="J96" s="19" t="n">
        <v>580.5</v>
      </c>
      <c r="K96" s="18" t="n">
        <v>5709416</v>
      </c>
      <c r="L96" s="18">
        <f>SUM(K96:K96)</f>
        <v/>
      </c>
      <c r="M96" s="21">
        <f>MIN(K96,MAX(0,$H$96-(L96-K96)))/$H$96</f>
        <v/>
      </c>
      <c r="N96" s="15">
        <f>IF(COUNTIF($I$2:$I$182,I96)&gt;1,"Yes","No")</f>
        <v/>
      </c>
    </row>
    <row r="97">
      <c r="A97" s="15" t="n">
        <v>48</v>
      </c>
      <c r="B97" s="16" t="inlineStr">
        <is>
          <t>818851d9</t>
        </is>
      </c>
      <c r="C97" s="17" t="inlineStr">
        <is>
          <t>Elefsina Refinery</t>
        </is>
      </c>
      <c r="D97" s="16" t="inlineStr">
        <is>
          <t>u_0167</t>
        </is>
      </c>
      <c r="E97" s="17" t="inlineStr">
        <is>
          <t>Crude Distillation (Crude 01)</t>
        </is>
      </c>
      <c r="F97" s="18" t="n">
        <v>3861791</v>
      </c>
      <c r="G97" s="18">
        <f>F97*0.8</f>
        <v/>
      </c>
      <c r="H97" s="18">
        <f>SUM(G97:G98)</f>
        <v/>
      </c>
      <c r="I97" s="16" t="inlineStr">
        <is>
          <t>0f764555</t>
        </is>
      </c>
      <c r="J97" s="19" t="n">
        <v>7.3</v>
      </c>
      <c r="K97" s="18" t="n">
        <v>1182450</v>
      </c>
      <c r="L97" s="18">
        <f>SUM(K97:K97)</f>
        <v/>
      </c>
      <c r="M97" s="21">
        <f>MIN(K97,MAX(0,$H$97-(L97-K97)))/$H$97</f>
        <v/>
      </c>
      <c r="N97" s="15">
        <f>IF(COUNTIF($I$2:$I$182,I97)&gt;1,"Yes","No")</f>
        <v/>
      </c>
    </row>
    <row r="98">
      <c r="A98" s="2" t="n"/>
      <c r="B98" s="3" t="inlineStr">
        <is>
          <t>818851d9</t>
        </is>
      </c>
      <c r="C98" s="4" t="inlineStr">
        <is>
          <t>Elefsina Refinery</t>
        </is>
      </c>
      <c r="D98" s="3" t="inlineStr">
        <is>
          <t>u_0168</t>
        </is>
      </c>
      <c r="E98" s="4" t="inlineStr">
        <is>
          <t>Crude Distillation (Crude 02)</t>
        </is>
      </c>
      <c r="F98" s="5" t="n">
        <v>1121165</v>
      </c>
      <c r="G98" s="5">
        <f>F98*0.8</f>
        <v/>
      </c>
      <c r="H98" s="5" t="n"/>
      <c r="I98" s="3" t="inlineStr">
        <is>
          <t>e682bb86</t>
        </is>
      </c>
      <c r="J98" s="11" t="n">
        <v>13.3</v>
      </c>
      <c r="K98" s="5" t="n">
        <v>9041881</v>
      </c>
      <c r="L98" s="5">
        <f>SUM(K97:K98)</f>
        <v/>
      </c>
      <c r="M98" s="20">
        <f>MIN(K98,MAX(0,$H$97-(L98-K98)))/$H$97</f>
        <v/>
      </c>
      <c r="N98" s="2">
        <f>IF(COUNTIF($I$2:$I$182,I98)&gt;1,"Yes","No")</f>
        <v/>
      </c>
    </row>
    <row r="99">
      <c r="A99" s="15" t="n">
        <v>49</v>
      </c>
      <c r="B99" s="16" t="inlineStr">
        <is>
          <t>8527d0ef</t>
        </is>
      </c>
      <c r="C99" s="17" t="inlineStr">
        <is>
          <t>Petrobrazi Refinery</t>
        </is>
      </c>
      <c r="D99" s="16" t="inlineStr">
        <is>
          <t>u_0171</t>
        </is>
      </c>
      <c r="E99" s="17" t="inlineStr">
        <is>
          <t>Atmospheric Distillation (DAV)</t>
        </is>
      </c>
      <c r="F99" s="18" t="n">
        <v>4285342</v>
      </c>
      <c r="G99" s="18">
        <f>F99*0.8</f>
        <v/>
      </c>
      <c r="H99" s="18">
        <f>SUM(G99:G99)</f>
        <v/>
      </c>
      <c r="I99" s="16" t="inlineStr">
        <is>
          <t>65d622bd</t>
        </is>
      </c>
      <c r="J99" s="19" t="n">
        <v>221.6</v>
      </c>
      <c r="K99" s="18" t="n">
        <v>5666538</v>
      </c>
      <c r="L99" s="18">
        <f>SUM(K99:K99)</f>
        <v/>
      </c>
      <c r="M99" s="21">
        <f>MIN(K99,MAX(0,$H$99-(L99-K99)))/$H$99</f>
        <v/>
      </c>
      <c r="N99" s="15">
        <f>IF(COUNTIF($I$2:$I$182,I99)&gt;1,"Yes","No")</f>
        <v/>
      </c>
    </row>
    <row r="100">
      <c r="A100" s="15" t="n">
        <v>50</v>
      </c>
      <c r="B100" s="16" t="inlineStr">
        <is>
          <t>858966f0</t>
        </is>
      </c>
      <c r="C100" s="17" t="inlineStr">
        <is>
          <t>Schwechat Refinery</t>
        </is>
      </c>
      <c r="D100" s="16" t="inlineStr">
        <is>
          <t>u_0172</t>
        </is>
      </c>
      <c r="E100" s="17" t="inlineStr">
        <is>
          <t>Crude 1</t>
        </is>
      </c>
      <c r="F100" s="18" t="n">
        <v>7474434</v>
      </c>
      <c r="G100" s="18">
        <f>F100*0.8</f>
        <v/>
      </c>
      <c r="H100" s="18">
        <f>SUM(G100:G101)</f>
        <v/>
      </c>
      <c r="I100" s="16" t="inlineStr">
        <is>
          <t>ae36b05f</t>
        </is>
      </c>
      <c r="J100" s="19" t="n">
        <v>348</v>
      </c>
      <c r="K100" s="18" t="n">
        <v>40943147</v>
      </c>
      <c r="L100" s="18">
        <f>SUM(K100:K100)</f>
        <v/>
      </c>
      <c r="M100" s="21">
        <f>MIN(K100,MAX(0,$H$100-(L100-K100)))/$H$100</f>
        <v/>
      </c>
      <c r="N100" s="15">
        <f>IF(COUNTIF($I$2:$I$182,I100)&gt;1,"Yes","No")</f>
        <v/>
      </c>
    </row>
    <row r="101">
      <c r="A101" s="2" t="n"/>
      <c r="B101" s="3" t="inlineStr">
        <is>
          <t>858966f0</t>
        </is>
      </c>
      <c r="C101" s="4" t="inlineStr">
        <is>
          <t>Schwechat Refinery</t>
        </is>
      </c>
      <c r="D101" s="3" t="inlineStr">
        <is>
          <t>u_0173</t>
        </is>
      </c>
      <c r="E101" s="4" t="inlineStr">
        <is>
          <t>Crude 2</t>
        </is>
      </c>
      <c r="F101" s="5" t="n">
        <v>2092842</v>
      </c>
      <c r="G101" s="5">
        <f>F101*0.8</f>
        <v/>
      </c>
      <c r="H101" s="5" t="n"/>
      <c r="I101" s="3" t="n"/>
      <c r="J101" s="11" t="n"/>
      <c r="K101" s="5" t="n"/>
      <c r="L101" s="5" t="n"/>
    </row>
    <row r="102">
      <c r="A102" s="15" t="n">
        <v>51</v>
      </c>
      <c r="B102" s="16" t="inlineStr">
        <is>
          <t>85b45fea</t>
        </is>
      </c>
      <c r="C102" s="17" t="inlineStr">
        <is>
          <t>Notre-Dame-de-Gravenchon Refinery</t>
        </is>
      </c>
      <c r="D102" s="16" t="inlineStr">
        <is>
          <t>u_0174</t>
        </is>
      </c>
      <c r="E102" s="17" t="inlineStr">
        <is>
          <t>Crude 1 (Pegase)</t>
        </is>
      </c>
      <c r="F102" s="18" t="n">
        <v>3488069</v>
      </c>
      <c r="G102" s="18">
        <f>F102*0.8</f>
        <v/>
      </c>
      <c r="H102" s="18">
        <f>SUM(G102:G103)</f>
        <v/>
      </c>
      <c r="I102" s="16" t="inlineStr">
        <is>
          <t>d79eb2e2</t>
        </is>
      </c>
      <c r="J102" s="19" t="n">
        <v>202.3</v>
      </c>
      <c r="K102" s="18" t="n">
        <v>10836149</v>
      </c>
      <c r="L102" s="18">
        <f>SUM(K102:K102)</f>
        <v/>
      </c>
      <c r="M102" s="21">
        <f>MIN(K102,MAX(0,$H$102-(L102-K102)))/$H$102</f>
        <v/>
      </c>
      <c r="N102" s="15">
        <f>IF(COUNTIF($I$2:$I$182,I102)&gt;1,"Yes","No")</f>
        <v/>
      </c>
    </row>
    <row r="103">
      <c r="A103" s="2" t="n"/>
      <c r="B103" s="3" t="inlineStr">
        <is>
          <t>85b45fea</t>
        </is>
      </c>
      <c r="C103" s="4" t="inlineStr">
        <is>
          <t>Notre-Dame-de-Gravenchon Refinery</t>
        </is>
      </c>
      <c r="D103" s="3" t="inlineStr">
        <is>
          <t>u_0175</t>
        </is>
      </c>
      <c r="E103" s="4" t="inlineStr">
        <is>
          <t>Crude 2 (Unit 17-1, Conversion)</t>
        </is>
      </c>
      <c r="F103" s="5" t="n">
        <v>8471025</v>
      </c>
      <c r="G103" s="5">
        <f>F103*0.8</f>
        <v/>
      </c>
      <c r="H103" s="5" t="n"/>
      <c r="I103" s="3" t="n"/>
      <c r="J103" s="11" t="n"/>
      <c r="K103" s="5" t="n"/>
      <c r="L103" s="5" t="n"/>
    </row>
    <row r="104">
      <c r="A104" s="15" t="n">
        <v>52</v>
      </c>
      <c r="B104" s="16" t="inlineStr">
        <is>
          <t>8ad9a60e</t>
        </is>
      </c>
      <c r="C104" s="17" t="inlineStr">
        <is>
          <t>La Coruna Refinery</t>
        </is>
      </c>
      <c r="D104" s="16" t="inlineStr">
        <is>
          <t>u_0182</t>
        </is>
      </c>
      <c r="E104" s="17" t="inlineStr">
        <is>
          <t>Crude 1</t>
        </is>
      </c>
      <c r="F104" s="18" t="n">
        <v>2506427</v>
      </c>
      <c r="G104" s="18">
        <f>F104*0.8</f>
        <v/>
      </c>
      <c r="H104" s="18">
        <f>SUM(G104:G105)</f>
        <v/>
      </c>
      <c r="I104" s="16" t="inlineStr">
        <is>
          <t>af489593</t>
        </is>
      </c>
      <c r="J104" s="19" t="n">
        <v>1.1</v>
      </c>
      <c r="K104" s="18" t="n">
        <v>5704599</v>
      </c>
      <c r="L104" s="18">
        <f>SUM(K104:K104)</f>
        <v/>
      </c>
      <c r="M104" s="21">
        <f>MIN(K104,MAX(0,$H$104-(L104-K104)))/$H$104</f>
        <v/>
      </c>
      <c r="N104" s="15">
        <f>IF(COUNTIF($I$2:$I$182,I104)&gt;1,"Yes","No")</f>
        <v/>
      </c>
    </row>
    <row r="105">
      <c r="A105" s="2" t="n"/>
      <c r="B105" s="3" t="inlineStr">
        <is>
          <t>8ad9a60e</t>
        </is>
      </c>
      <c r="C105" s="4" t="inlineStr">
        <is>
          <t>La Coruna Refinery</t>
        </is>
      </c>
      <c r="D105" s="3" t="inlineStr">
        <is>
          <t>u_0183</t>
        </is>
      </c>
      <c r="E105" s="4" t="inlineStr">
        <is>
          <t>Crude 2</t>
        </is>
      </c>
      <c r="F105" s="5" t="n">
        <v>3448206</v>
      </c>
      <c r="G105" s="5">
        <f>F105*0.8</f>
        <v/>
      </c>
      <c r="H105" s="5" t="n"/>
      <c r="I105" s="3" t="n"/>
      <c r="J105" s="11" t="n"/>
      <c r="K105" s="5" t="n"/>
      <c r="L105" s="5" t="n"/>
    </row>
    <row r="106">
      <c r="A106" s="15" t="n">
        <v>53</v>
      </c>
      <c r="B106" s="16" t="inlineStr">
        <is>
          <t>8b0072a2</t>
        </is>
      </c>
      <c r="C106" s="17" t="inlineStr">
        <is>
          <t>Humber Refinery</t>
        </is>
      </c>
      <c r="D106" s="16" t="inlineStr">
        <is>
          <t>u_0184</t>
        </is>
      </c>
      <c r="E106" s="17" t="inlineStr">
        <is>
          <t>CTU 1</t>
        </is>
      </c>
      <c r="F106" s="18" t="n">
        <v>6976138</v>
      </c>
      <c r="G106" s="18">
        <f>F106*0.8</f>
        <v/>
      </c>
      <c r="H106" s="18">
        <f>SUM(G106:G107)</f>
        <v/>
      </c>
      <c r="I106" s="16" t="inlineStr">
        <is>
          <t>4fc6f7af</t>
        </is>
      </c>
      <c r="J106" s="19" t="n">
        <v>3.8</v>
      </c>
      <c r="K106" s="18" t="n">
        <v>2116316</v>
      </c>
      <c r="L106" s="18">
        <f>SUM(K106:K106)</f>
        <v/>
      </c>
      <c r="M106" s="21">
        <f>MIN(K106,MAX(0,$H$106-(L106-K106)))/$H$106</f>
        <v/>
      </c>
      <c r="N106" s="15">
        <f>IF(COUNTIF($I$2:$I$182,I106)&gt;1,"Yes","No")</f>
        <v/>
      </c>
    </row>
    <row r="107">
      <c r="A107" s="2" t="n"/>
      <c r="B107" s="3" t="inlineStr">
        <is>
          <t>8b0072a2</t>
        </is>
      </c>
      <c r="C107" s="4" t="inlineStr">
        <is>
          <t>Humber Refinery</t>
        </is>
      </c>
      <c r="D107" s="3" t="inlineStr">
        <is>
          <t>u_0185</t>
        </is>
      </c>
      <c r="E107" s="4" t="inlineStr">
        <is>
          <t>CTU 2</t>
        </is>
      </c>
      <c r="F107" s="5" t="n">
        <v>5232104</v>
      </c>
      <c r="G107" s="5">
        <f>F107*0.8</f>
        <v/>
      </c>
      <c r="H107" s="5" t="n"/>
      <c r="I107" s="3" t="inlineStr">
        <is>
          <t>caaf9dcf</t>
        </is>
      </c>
      <c r="J107" s="11" t="n">
        <v>26.1</v>
      </c>
      <c r="K107" s="5" t="n">
        <v>9586386</v>
      </c>
      <c r="L107" s="5">
        <f>SUM(K106:K107)</f>
        <v/>
      </c>
      <c r="M107" s="20">
        <f>MIN(K107,MAX(0,$H$106-(L107-K107)))/$H$106</f>
        <v/>
      </c>
      <c r="N107" s="2">
        <f>IF(COUNTIF($I$2:$I$182,I107)&gt;1,"Yes","No")</f>
        <v/>
      </c>
    </row>
    <row r="108">
      <c r="A108" s="15" t="n">
        <v>54</v>
      </c>
      <c r="B108" s="16" t="inlineStr">
        <is>
          <t>8d5430e0</t>
        </is>
      </c>
      <c r="C108" s="17" t="inlineStr">
        <is>
          <t>St1 Gothenburg Refinery</t>
        </is>
      </c>
      <c r="D108" s="16" t="inlineStr">
        <is>
          <t>u_0187</t>
        </is>
      </c>
      <c r="E108" s="17" t="inlineStr">
        <is>
          <t>Crude Distillation Unit 1</t>
        </is>
      </c>
      <c r="F108" s="18" t="n">
        <v>747443</v>
      </c>
      <c r="G108" s="18">
        <f>F108*0.8</f>
        <v/>
      </c>
      <c r="H108" s="18">
        <f>SUM(G108:G110)</f>
        <v/>
      </c>
      <c r="I108" s="16" t="inlineStr">
        <is>
          <t>5002acae</t>
        </is>
      </c>
      <c r="J108" s="19" t="n">
        <v>0.7</v>
      </c>
      <c r="K108" s="18" t="n">
        <v>8329977</v>
      </c>
      <c r="L108" s="18">
        <f>SUM(K108:K108)</f>
        <v/>
      </c>
      <c r="M108" s="21">
        <f>MIN(K108,MAX(0,$H$108-(L108-K108)))/$H$108</f>
        <v/>
      </c>
      <c r="N108" s="15">
        <f>IF(COUNTIF($I$2:$I$182,I108)&gt;1,"Yes","No")</f>
        <v/>
      </c>
    </row>
    <row r="109">
      <c r="A109" s="2" t="n"/>
      <c r="B109" s="3" t="inlineStr">
        <is>
          <t>8d5430e0</t>
        </is>
      </c>
      <c r="C109" s="4" t="inlineStr">
        <is>
          <t>St1 Gothenburg Refinery</t>
        </is>
      </c>
      <c r="D109" s="3" t="inlineStr">
        <is>
          <t>u_0188</t>
        </is>
      </c>
      <c r="E109" s="4" t="inlineStr">
        <is>
          <t>Crude Distillation Unit 2</t>
        </is>
      </c>
      <c r="F109" s="5" t="n">
        <v>747443</v>
      </c>
      <c r="G109" s="5">
        <f>F109*0.8</f>
        <v/>
      </c>
      <c r="H109" s="5" t="n"/>
      <c r="I109" s="3" t="n"/>
      <c r="J109" s="11" t="n"/>
      <c r="K109" s="5" t="n"/>
      <c r="L109" s="5" t="n"/>
    </row>
    <row r="110">
      <c r="A110" s="2" t="n"/>
      <c r="B110" s="3" t="inlineStr">
        <is>
          <t>8d5430e0</t>
        </is>
      </c>
      <c r="C110" s="4" t="inlineStr">
        <is>
          <t>St1 Gothenburg Refinery</t>
        </is>
      </c>
      <c r="D110" s="3" t="inlineStr">
        <is>
          <t>u_0189</t>
        </is>
      </c>
      <c r="E110" s="4" t="inlineStr">
        <is>
          <t>Crude Distillation Unit 3</t>
        </is>
      </c>
      <c r="F110" s="5" t="n">
        <v>2491478</v>
      </c>
      <c r="G110" s="5">
        <f>F110*0.8</f>
        <v/>
      </c>
      <c r="H110" s="5" t="n"/>
      <c r="I110" s="3" t="n"/>
      <c r="J110" s="11" t="n"/>
      <c r="K110" s="5" t="n"/>
      <c r="L110" s="5" t="n"/>
    </row>
    <row r="111">
      <c r="A111" s="15" t="n">
        <v>55</v>
      </c>
      <c r="B111" s="16" t="inlineStr">
        <is>
          <t>951e82c8</t>
        </is>
      </c>
      <c r="C111" s="17" t="inlineStr">
        <is>
          <t>Alma Petroli Refinery</t>
        </is>
      </c>
      <c r="D111" s="16" t="inlineStr">
        <is>
          <t>u_0194</t>
        </is>
      </c>
      <c r="E111" s="17" t="inlineStr">
        <is>
          <t>Primary Distillation (CDU)</t>
        </is>
      </c>
      <c r="F111" s="18" t="n">
        <v>543142</v>
      </c>
      <c r="G111" s="18">
        <f>F111*0.8</f>
        <v/>
      </c>
      <c r="H111" s="18">
        <f>SUM(G111:G111)</f>
        <v/>
      </c>
      <c r="I111" s="16" t="inlineStr">
        <is>
          <t>741e890b</t>
        </is>
      </c>
      <c r="J111" s="19" t="n">
        <v>0.2</v>
      </c>
      <c r="K111" s="18" t="n">
        <v>51965</v>
      </c>
      <c r="L111" s="18">
        <f>SUM(K111:K111)</f>
        <v/>
      </c>
      <c r="M111" s="21">
        <f>MIN(K111,MAX(0,$H$111-(L111-K111)))/$H$111</f>
        <v/>
      </c>
      <c r="N111" s="15">
        <f>IF(COUNTIF($I$2:$I$182,I111)&gt;1,"Yes","No")</f>
        <v/>
      </c>
    </row>
    <row r="112">
      <c r="A112" s="2" t="n"/>
      <c r="B112" s="3" t="inlineStr">
        <is>
          <t>951e82c8</t>
        </is>
      </c>
      <c r="C112" s="4" t="inlineStr">
        <is>
          <t>Alma Petroli Refinery</t>
        </is>
      </c>
      <c r="D112" s="3" t="n"/>
      <c r="E112" s="4" t="n"/>
      <c r="F112" s="5" t="n"/>
      <c r="G112" s="5" t="n"/>
      <c r="H112" s="5" t="n"/>
      <c r="I112" s="3" t="inlineStr">
        <is>
          <t>db8af6ec</t>
        </is>
      </c>
      <c r="J112" s="11" t="n">
        <v>129</v>
      </c>
      <c r="K112" s="5" t="n">
        <v>106161</v>
      </c>
      <c r="L112" s="5">
        <f>SUM(K111:K112)</f>
        <v/>
      </c>
      <c r="M112" s="20">
        <f>MIN(K112,MAX(0,$H$111-(L112-K112)))/$H$111</f>
        <v/>
      </c>
      <c r="N112" s="2">
        <f>IF(COUNTIF($I$2:$I$182,I112)&gt;1,"Yes","No")</f>
        <v/>
      </c>
    </row>
    <row r="113">
      <c r="A113" s="2" t="n"/>
      <c r="B113" s="3" t="inlineStr">
        <is>
          <t>951e82c8</t>
        </is>
      </c>
      <c r="C113" s="4" t="inlineStr">
        <is>
          <t>Alma Petroli Refinery</t>
        </is>
      </c>
      <c r="D113" s="3" t="n"/>
      <c r="E113" s="4" t="n"/>
      <c r="F113" s="5" t="n"/>
      <c r="G113" s="5" t="n"/>
      <c r="H113" s="5" t="n"/>
      <c r="I113" s="3" t="inlineStr">
        <is>
          <t>0ae30682</t>
        </is>
      </c>
      <c r="J113" s="11" t="n">
        <v>129.7</v>
      </c>
      <c r="K113" s="5" t="n">
        <v>2200061</v>
      </c>
      <c r="L113" s="5">
        <f>SUM(K111:K113)</f>
        <v/>
      </c>
      <c r="M113" s="20">
        <f>MIN(K113,MAX(0,$H$111-(L113-K113)))/$H$111</f>
        <v/>
      </c>
      <c r="N113" s="2">
        <f>IF(COUNTIF($I$2:$I$182,I113)&gt;1,"Yes","No")</f>
        <v/>
      </c>
    </row>
    <row r="114">
      <c r="A114" s="15" t="n">
        <v>56</v>
      </c>
      <c r="B114" s="16" t="inlineStr">
        <is>
          <t>95955ab2</t>
        </is>
      </c>
      <c r="C114" s="17" t="inlineStr">
        <is>
          <t>Thessaloniki Refinery</t>
        </is>
      </c>
      <c r="D114" s="16" t="inlineStr">
        <is>
          <t>u_0195</t>
        </is>
      </c>
      <c r="E114" s="17" t="inlineStr">
        <is>
          <t>Crude</t>
        </is>
      </c>
      <c r="F114" s="18" t="n">
        <v>4634149</v>
      </c>
      <c r="G114" s="18">
        <f>F114*0.8</f>
        <v/>
      </c>
      <c r="H114" s="18">
        <f>SUM(G114:G114)</f>
        <v/>
      </c>
      <c r="I114" s="16" t="inlineStr">
        <is>
          <t>effbc0d3</t>
        </is>
      </c>
      <c r="J114" s="19" t="n">
        <v>5.5</v>
      </c>
      <c r="K114" s="18" t="n">
        <v>4417971</v>
      </c>
      <c r="L114" s="18">
        <f>SUM(K114:K114)</f>
        <v/>
      </c>
      <c r="M114" s="21">
        <f>MIN(K114,MAX(0,$H$114-(L114-K114)))/$H$114</f>
        <v/>
      </c>
      <c r="N114" s="15">
        <f>IF(COUNTIF($I$2:$I$182,I114)&gt;1,"Yes","No")</f>
        <v/>
      </c>
    </row>
    <row r="115">
      <c r="A115" s="15" t="n">
        <v>57</v>
      </c>
      <c r="B115" s="16" t="inlineStr">
        <is>
          <t>959a839b</t>
        </is>
      </c>
      <c r="C115" s="17" t="inlineStr">
        <is>
          <t>Sarpom Refinery</t>
        </is>
      </c>
      <c r="D115" s="16" t="inlineStr">
        <is>
          <t>u_0196</t>
        </is>
      </c>
      <c r="E115" s="17" t="inlineStr">
        <is>
          <t>APS3 (Topping 3)</t>
        </is>
      </c>
      <c r="F115" s="18" t="n">
        <v>6976138</v>
      </c>
      <c r="G115" s="18">
        <f>F115*0.8</f>
        <v/>
      </c>
      <c r="H115" s="18">
        <f>SUM(G115:G115)</f>
        <v/>
      </c>
      <c r="I115" s="16" t="inlineStr">
        <is>
          <t>ab338597</t>
        </is>
      </c>
      <c r="J115" s="19" t="n">
        <v>114.6</v>
      </c>
      <c r="K115" s="18" t="n">
        <v>7690096</v>
      </c>
      <c r="L115" s="18">
        <f>SUM(K115:K115)</f>
        <v/>
      </c>
      <c r="M115" s="21">
        <f>MIN(K115,MAX(0,$H$115-(L115-K115)))/$H$115</f>
        <v/>
      </c>
      <c r="N115" s="15">
        <f>IF(COUNTIF($I$2:$I$182,I115)&gt;1,"Yes","No")</f>
        <v/>
      </c>
    </row>
    <row r="116">
      <c r="A116" s="15" t="n">
        <v>58</v>
      </c>
      <c r="B116" s="16" t="inlineStr">
        <is>
          <t>9f011286</t>
        </is>
      </c>
      <c r="C116" s="17" t="inlineStr">
        <is>
          <t>Saras Refinery</t>
        </is>
      </c>
      <c r="D116" s="16" t="inlineStr">
        <is>
          <t>u_0205</t>
        </is>
      </c>
      <c r="E116" s="17" t="inlineStr">
        <is>
          <t>Topping RT2</t>
        </is>
      </c>
      <c r="F116" s="18" t="n">
        <v>3288751</v>
      </c>
      <c r="G116" s="18">
        <f>F116*0.8</f>
        <v/>
      </c>
      <c r="H116" s="18">
        <f>SUM(G116:G118)</f>
        <v/>
      </c>
      <c r="I116" s="16" t="inlineStr">
        <is>
          <t>d941692a</t>
        </is>
      </c>
      <c r="J116" s="19" t="n">
        <v>1.9</v>
      </c>
      <c r="K116" s="18" t="n">
        <v>11971005</v>
      </c>
      <c r="L116" s="18">
        <f>SUM(K116:K116)</f>
        <v/>
      </c>
      <c r="M116" s="21">
        <f>MIN(K116,MAX(0,$H$116-(L116-K116)))/$H$116</f>
        <v/>
      </c>
      <c r="N116" s="15">
        <f>IF(COUNTIF($I$2:$I$182,I116)&gt;1,"Yes","No")</f>
        <v/>
      </c>
    </row>
    <row r="117">
      <c r="A117" s="2" t="n"/>
      <c r="B117" s="3" t="inlineStr">
        <is>
          <t>9f011286</t>
        </is>
      </c>
      <c r="C117" s="4" t="inlineStr">
        <is>
          <t>Saras Refinery</t>
        </is>
      </c>
      <c r="D117" s="3" t="inlineStr">
        <is>
          <t>u_0206</t>
        </is>
      </c>
      <c r="E117" s="4" t="inlineStr">
        <is>
          <t>Topping T1</t>
        </is>
      </c>
      <c r="F117" s="5" t="n">
        <v>5755314</v>
      </c>
      <c r="G117" s="5">
        <f>F117*0.8</f>
        <v/>
      </c>
      <c r="H117" s="5" t="n"/>
      <c r="I117" s="3" t="n"/>
      <c r="J117" s="11" t="n"/>
      <c r="K117" s="5" t="n"/>
      <c r="L117" s="5" t="n"/>
    </row>
    <row r="118">
      <c r="A118" s="2" t="n"/>
      <c r="B118" s="3" t="inlineStr">
        <is>
          <t>9f011286</t>
        </is>
      </c>
      <c r="C118" s="4" t="inlineStr">
        <is>
          <t>Saras Refinery</t>
        </is>
      </c>
      <c r="D118" s="3" t="inlineStr">
        <is>
          <t>u_0207</t>
        </is>
      </c>
      <c r="E118" s="4" t="inlineStr">
        <is>
          <t>Topping T2</t>
        </is>
      </c>
      <c r="F118" s="5" t="n">
        <v>5904803</v>
      </c>
      <c r="G118" s="5">
        <f>F118*0.8</f>
        <v/>
      </c>
      <c r="H118" s="5" t="n"/>
      <c r="I118" s="3" t="n"/>
      <c r="J118" s="11" t="n"/>
      <c r="K118" s="5" t="n"/>
      <c r="L118" s="5" t="n"/>
    </row>
    <row r="119">
      <c r="A119" s="15" t="n">
        <v>59</v>
      </c>
      <c r="B119" s="16" t="inlineStr">
        <is>
          <t>a43ffbc5</t>
        </is>
      </c>
      <c r="C119" s="17" t="inlineStr">
        <is>
          <t>Litvinov Refinery</t>
        </is>
      </c>
      <c r="D119" s="16" t="inlineStr">
        <is>
          <t>u_0212</t>
        </is>
      </c>
      <c r="E119" s="17" t="inlineStr">
        <is>
          <t>CDU 1 (Crude Distillation Unit)</t>
        </is>
      </c>
      <c r="F119" s="18" t="n">
        <v>1744035</v>
      </c>
      <c r="G119" s="18">
        <f>F119*0.8</f>
        <v/>
      </c>
      <c r="H119" s="18">
        <f>SUM(G119:G120)</f>
        <v/>
      </c>
      <c r="I119" s="16" t="inlineStr">
        <is>
          <t>9944fac5</t>
        </is>
      </c>
      <c r="J119" s="19" t="n">
        <v>412.2</v>
      </c>
      <c r="K119" s="18" t="n">
        <v>5692623</v>
      </c>
      <c r="L119" s="18">
        <f>SUM(K119:K119)</f>
        <v/>
      </c>
      <c r="M119" s="21">
        <f>MIN(K119,MAX(0,$H$119-(L119-K119)))/$H$119</f>
        <v/>
      </c>
      <c r="N119" s="15">
        <f>IF(COUNTIF($I$2:$I$182,I119)&gt;1,"Yes","No")</f>
        <v/>
      </c>
    </row>
    <row r="120">
      <c r="A120" s="2" t="n"/>
      <c r="B120" s="3" t="inlineStr">
        <is>
          <t>a43ffbc5</t>
        </is>
      </c>
      <c r="C120" s="4" t="inlineStr">
        <is>
          <t>Litvinov Refinery</t>
        </is>
      </c>
      <c r="D120" s="3" t="inlineStr">
        <is>
          <t>u_0213</t>
        </is>
      </c>
      <c r="E120" s="4" t="inlineStr">
        <is>
          <t>CDU 2 (Crude Distillation Unit)</t>
        </is>
      </c>
      <c r="F120" s="5" t="n">
        <v>3677422</v>
      </c>
      <c r="G120" s="5">
        <f>F120*0.8</f>
        <v/>
      </c>
      <c r="H120" s="5" t="n"/>
      <c r="I120" s="3" t="n"/>
      <c r="J120" s="11" t="n"/>
      <c r="K120" s="5" t="n"/>
      <c r="L120" s="5" t="n"/>
    </row>
    <row r="121">
      <c r="A121" s="15" t="n">
        <v>60</v>
      </c>
      <c r="B121" s="16" t="inlineStr">
        <is>
          <t>a6630b6f</t>
        </is>
      </c>
      <c r="C121" s="17" t="inlineStr">
        <is>
          <t>Zeeland Refinery</t>
        </is>
      </c>
      <c r="D121" s="16" t="inlineStr">
        <is>
          <t>u_0216</t>
        </is>
      </c>
      <c r="E121" s="17" t="inlineStr">
        <is>
          <t>Crude Distillation</t>
        </is>
      </c>
      <c r="F121" s="18" t="n">
        <v>7623923</v>
      </c>
      <c r="G121" s="18">
        <f>F121*0.8</f>
        <v/>
      </c>
      <c r="H121" s="18">
        <f>SUM(G121:G121)</f>
        <v/>
      </c>
      <c r="I121" s="16" t="inlineStr">
        <is>
          <t>a138d843</t>
        </is>
      </c>
      <c r="J121" s="19" t="n">
        <v>46.7</v>
      </c>
      <c r="K121" s="18" t="n">
        <v>151859</v>
      </c>
      <c r="L121" s="18">
        <f>SUM(K121:K121)</f>
        <v/>
      </c>
      <c r="M121" s="21">
        <f>MIN(K121,MAX(0,$H$121-(L121-K121)))/$H$121</f>
        <v/>
      </c>
      <c r="N121" s="15">
        <f>IF(COUNTIF($I$2:$I$182,I121)&gt;1,"Yes","No")</f>
        <v/>
      </c>
    </row>
    <row r="122">
      <c r="A122" s="2" t="n"/>
      <c r="B122" s="3" t="inlineStr">
        <is>
          <t>a6630b6f</t>
        </is>
      </c>
      <c r="C122" s="4" t="inlineStr">
        <is>
          <t>Zeeland Refinery</t>
        </is>
      </c>
      <c r="D122" s="3" t="n"/>
      <c r="E122" s="4" t="n"/>
      <c r="F122" s="5" t="n"/>
      <c r="G122" s="5" t="n"/>
      <c r="H122" s="5" t="n"/>
      <c r="I122" s="3" t="inlineStr">
        <is>
          <t>846fd219</t>
        </is>
      </c>
      <c r="J122" s="11" t="n">
        <v>61.2</v>
      </c>
      <c r="K122" s="5" t="n">
        <v>1086900</v>
      </c>
      <c r="L122" s="5">
        <f>SUM(K121:K122)</f>
        <v/>
      </c>
      <c r="M122" s="20">
        <f>MIN(K122,MAX(0,$H$121-(L122-K122)))/$H$121</f>
        <v/>
      </c>
      <c r="N122" s="2">
        <f>IF(COUNTIF($I$2:$I$182,I122)&gt;1,"Yes","No")</f>
        <v/>
      </c>
    </row>
    <row r="123">
      <c r="A123" s="2" t="n"/>
      <c r="B123" s="3" t="inlineStr">
        <is>
          <t>a6630b6f</t>
        </is>
      </c>
      <c r="C123" s="4" t="inlineStr">
        <is>
          <t>Zeeland Refinery</t>
        </is>
      </c>
      <c r="D123" s="3" t="n"/>
      <c r="E123" s="4" t="n"/>
      <c r="F123" s="5" t="n"/>
      <c r="G123" s="5" t="n"/>
      <c r="H123" s="5" t="n"/>
      <c r="I123" s="3" t="inlineStr">
        <is>
          <t>b4df57a6</t>
        </is>
      </c>
      <c r="J123" s="11" t="n">
        <v>62.1</v>
      </c>
      <c r="K123" s="5" t="n">
        <v>4175895</v>
      </c>
      <c r="L123" s="5">
        <f>SUM(K121:K123)</f>
        <v/>
      </c>
      <c r="M123" s="20">
        <f>MIN(K123,MAX(0,$H$121-(L123-K123)))/$H$121</f>
        <v/>
      </c>
      <c r="N123" s="2">
        <f>IF(COUNTIF($I$2:$I$182,I123)&gt;1,"Yes","No")</f>
        <v/>
      </c>
    </row>
    <row r="124">
      <c r="A124" s="2" t="n"/>
      <c r="B124" s="3" t="inlineStr">
        <is>
          <t>a6630b6f</t>
        </is>
      </c>
      <c r="C124" s="4" t="inlineStr">
        <is>
          <t>Zeeland Refinery</t>
        </is>
      </c>
      <c r="D124" s="3" t="n"/>
      <c r="E124" s="4" t="n"/>
      <c r="F124" s="5" t="n"/>
      <c r="G124" s="5" t="n"/>
      <c r="H124" s="5" t="n"/>
      <c r="I124" s="3" t="inlineStr">
        <is>
          <t>9b36065a</t>
        </is>
      </c>
      <c r="J124" s="11" t="n">
        <v>62.2</v>
      </c>
      <c r="K124" s="5" t="n">
        <v>18985451</v>
      </c>
      <c r="L124" s="5">
        <f>SUM(K121:K124)</f>
        <v/>
      </c>
      <c r="M124" s="20">
        <f>MIN(K124,MAX(0,$H$121-(L124-K124)))/$H$121</f>
        <v/>
      </c>
      <c r="N124" s="2">
        <f>IF(COUNTIF($I$2:$I$182,I124)&gt;1,"Yes","No")</f>
        <v/>
      </c>
    </row>
    <row r="125">
      <c r="A125" s="15" t="n">
        <v>61</v>
      </c>
      <c r="B125" s="16" t="inlineStr">
        <is>
          <t>a81a21a0</t>
        </is>
      </c>
      <c r="C125" s="17" t="inlineStr">
        <is>
          <t>Petroineos Lavera Refinery</t>
        </is>
      </c>
      <c r="D125" s="16" t="inlineStr">
        <is>
          <t>u_0219</t>
        </is>
      </c>
      <c r="E125" s="17" t="inlineStr">
        <is>
          <t>Topping 5 (Distillation-Crude)</t>
        </is>
      </c>
      <c r="F125" s="18" t="n">
        <v>10862844</v>
      </c>
      <c r="G125" s="18">
        <f>F125*0.8</f>
        <v/>
      </c>
      <c r="H125" s="18">
        <f>SUM(G125:G125)</f>
        <v/>
      </c>
      <c r="I125" s="16" t="inlineStr">
        <is>
          <t>fb0b3578</t>
        </is>
      </c>
      <c r="J125" s="19" t="n">
        <v>294.2</v>
      </c>
      <c r="K125" s="18" t="n">
        <v>6134936</v>
      </c>
      <c r="L125" s="18">
        <f>SUM(K125:K125)</f>
        <v/>
      </c>
      <c r="M125" s="21">
        <f>MIN(K125,MAX(0,$H$125-(L125-K125)))/$H$125</f>
        <v/>
      </c>
      <c r="N125" s="15">
        <f>IF(COUNTIF($I$2:$I$182,I125)&gt;1,"Yes","No")</f>
        <v/>
      </c>
    </row>
    <row r="126">
      <c r="A126" s="2" t="n"/>
      <c r="B126" s="3" t="inlineStr">
        <is>
          <t>a81a21a0</t>
        </is>
      </c>
      <c r="C126" s="4" t="inlineStr">
        <is>
          <t>Petroineos Lavera Refinery</t>
        </is>
      </c>
      <c r="D126" s="3" t="n"/>
      <c r="E126" s="4" t="n"/>
      <c r="F126" s="5" t="n"/>
      <c r="G126" s="5" t="n"/>
      <c r="H126" s="5" t="n"/>
      <c r="I126" s="3" t="inlineStr">
        <is>
          <t>09f877a8</t>
        </is>
      </c>
      <c r="J126" s="11" t="n">
        <v>326.7</v>
      </c>
      <c r="K126" s="5" t="n">
        <v>149290</v>
      </c>
      <c r="L126" s="5">
        <f>SUM(K125:K126)</f>
        <v/>
      </c>
      <c r="M126" s="20">
        <f>MIN(K126,MAX(0,$H$125-(L126-K126)))/$H$125</f>
        <v/>
      </c>
      <c r="N126" s="2">
        <f>IF(COUNTIF($I$2:$I$182,I126)&gt;1,"Yes","No")</f>
        <v/>
      </c>
    </row>
    <row r="127">
      <c r="A127" s="2" t="n"/>
      <c r="B127" s="3" t="inlineStr">
        <is>
          <t>a81a21a0</t>
        </is>
      </c>
      <c r="C127" s="4" t="inlineStr">
        <is>
          <t>Petroineos Lavera Refinery</t>
        </is>
      </c>
      <c r="D127" s="3" t="n"/>
      <c r="E127" s="4" t="n"/>
      <c r="F127" s="5" t="n"/>
      <c r="G127" s="5" t="n"/>
      <c r="H127" s="5" t="n"/>
      <c r="I127" s="3" t="inlineStr">
        <is>
          <t>ab338597</t>
        </is>
      </c>
      <c r="J127" s="11" t="n">
        <v>328.9</v>
      </c>
      <c r="K127" s="5" t="n">
        <v>7690096</v>
      </c>
      <c r="L127" s="5">
        <f>SUM(K125:K127)</f>
        <v/>
      </c>
      <c r="M127" s="20">
        <f>MIN(K127,MAX(0,$H$125-(L127-K127)))/$H$125</f>
        <v/>
      </c>
      <c r="N127" s="2">
        <f>IF(COUNTIF($I$2:$I$182,I127)&gt;1,"Yes","No")</f>
        <v/>
      </c>
    </row>
    <row r="128">
      <c r="A128" s="15" t="n">
        <v>62</v>
      </c>
      <c r="B128" s="16" t="inlineStr">
        <is>
          <t>a92397ab</t>
        </is>
      </c>
      <c r="C128" s="17" t="inlineStr">
        <is>
          <t>Priolo Gargallo ISAB Refinery (South)</t>
        </is>
      </c>
      <c r="D128" s="16" t="inlineStr">
        <is>
          <t>u_0220</t>
        </is>
      </c>
      <c r="E128" s="17" t="inlineStr">
        <is>
          <t>Unit 100 Topping</t>
        </is>
      </c>
      <c r="F128" s="18" t="n">
        <v>5979547</v>
      </c>
      <c r="G128" s="18">
        <f>F128*0.8</f>
        <v/>
      </c>
      <c r="H128" s="18">
        <f>SUM(G128:G128)</f>
        <v/>
      </c>
      <c r="I128" s="16" t="inlineStr">
        <is>
          <t>87e48f98</t>
        </is>
      </c>
      <c r="J128" s="19" t="n">
        <v>4</v>
      </c>
      <c r="K128" s="18" t="n">
        <v>6232057</v>
      </c>
      <c r="L128" s="18">
        <f>SUM(K128:K128)</f>
        <v/>
      </c>
      <c r="M128" s="21">
        <f>MIN(K128,MAX(0,$H$128-(L128-K128)))/$H$128</f>
        <v/>
      </c>
      <c r="N128" s="15">
        <f>IF(COUNTIF($I$2:$I$182,I128)&gt;1,"Yes","No")</f>
        <v/>
      </c>
    </row>
    <row r="129">
      <c r="A129" s="15" t="n">
        <v>63</v>
      </c>
      <c r="B129" s="16" t="inlineStr">
        <is>
          <t>b3f4dd08</t>
        </is>
      </c>
      <c r="C129" s="17" t="inlineStr">
        <is>
          <t>Izmir Refinery</t>
        </is>
      </c>
      <c r="D129" s="16" t="inlineStr">
        <is>
          <t>u_0231</t>
        </is>
      </c>
      <c r="E129" s="17" t="inlineStr">
        <is>
          <t>Crude 100 (Old)</t>
        </is>
      </c>
      <c r="F129" s="18" t="n">
        <v>4509575</v>
      </c>
      <c r="G129" s="18">
        <f>F129*0.8</f>
        <v/>
      </c>
      <c r="H129" s="18">
        <f>SUM(G129:G130)</f>
        <v/>
      </c>
      <c r="I129" s="16" t="inlineStr">
        <is>
          <t>d74f673f</t>
        </is>
      </c>
      <c r="J129" s="19" t="n">
        <v>2.1</v>
      </c>
      <c r="K129" s="18" t="n">
        <v>11207762</v>
      </c>
      <c r="L129" s="18">
        <f>SUM(K129:K129)</f>
        <v/>
      </c>
      <c r="M129" s="21">
        <f>MIN(K129,MAX(0,$H$129-(L129-K129)))/$H$129</f>
        <v/>
      </c>
      <c r="N129" s="15">
        <f>IF(COUNTIF($I$2:$I$182,I129)&gt;1,"Yes","No")</f>
        <v/>
      </c>
    </row>
    <row r="130">
      <c r="A130" s="2" t="n"/>
      <c r="B130" s="3" t="inlineStr">
        <is>
          <t>b3f4dd08</t>
        </is>
      </c>
      <c r="C130" s="4" t="inlineStr">
        <is>
          <t>Izmir Refinery</t>
        </is>
      </c>
      <c r="D130" s="3" t="inlineStr">
        <is>
          <t>u_0232</t>
        </is>
      </c>
      <c r="E130" s="4" t="inlineStr">
        <is>
          <t>Crude 7000</t>
        </is>
      </c>
      <c r="F130" s="5" t="n">
        <v>7524264</v>
      </c>
      <c r="G130" s="5">
        <f>F130*0.8</f>
        <v/>
      </c>
      <c r="H130" s="5" t="n"/>
      <c r="I130" s="3" t="n"/>
      <c r="J130" s="11" t="n"/>
      <c r="K130" s="5" t="n"/>
      <c r="L130" s="5" t="n"/>
    </row>
    <row r="131">
      <c r="A131" s="15" t="n">
        <v>64</v>
      </c>
      <c r="B131" s="16" t="inlineStr">
        <is>
          <t>b7a45f35</t>
        </is>
      </c>
      <c r="C131" s="17" t="inlineStr">
        <is>
          <t>Nynashamn Refinery</t>
        </is>
      </c>
      <c r="D131" s="16" t="inlineStr">
        <is>
          <t>u_0235</t>
        </is>
      </c>
      <c r="E131" s="17" t="inlineStr">
        <is>
          <t>Crude Distillation Unit</t>
        </is>
      </c>
      <c r="F131" s="18" t="n">
        <v>1445057</v>
      </c>
      <c r="G131" s="18">
        <f>F131*0.8</f>
        <v/>
      </c>
      <c r="H131" s="18">
        <f>SUM(G131:G131)</f>
        <v/>
      </c>
      <c r="I131" s="16" t="inlineStr">
        <is>
          <t>f0c4ad73</t>
        </is>
      </c>
      <c r="J131" s="19" t="n">
        <v>0.6</v>
      </c>
      <c r="K131" s="18" t="n">
        <v>643771</v>
      </c>
      <c r="L131" s="18">
        <f>SUM(K131:K131)</f>
        <v/>
      </c>
      <c r="M131" s="21">
        <f>MIN(K131,MAX(0,$H$131-(L131-K131)))/$H$131</f>
        <v/>
      </c>
      <c r="N131" s="15">
        <f>IF(COUNTIF($I$2:$I$182,I131)&gt;1,"Yes","No")</f>
        <v/>
      </c>
    </row>
    <row r="132">
      <c r="A132" s="2" t="n"/>
      <c r="B132" s="3" t="inlineStr">
        <is>
          <t>b7a45f35</t>
        </is>
      </c>
      <c r="C132" s="4" t="inlineStr">
        <is>
          <t>Nynashamn Refinery</t>
        </is>
      </c>
      <c r="D132" s="3" t="n"/>
      <c r="E132" s="4" t="n"/>
      <c r="F132" s="5" t="n"/>
      <c r="G132" s="5" t="n"/>
      <c r="H132" s="5" t="n"/>
      <c r="I132" s="3" t="inlineStr">
        <is>
          <t>9eaa9be9</t>
        </is>
      </c>
      <c r="J132" s="11" t="n">
        <v>366.5</v>
      </c>
      <c r="K132" s="5" t="n">
        <v>9333213</v>
      </c>
      <c r="L132" s="5">
        <f>SUM(K131:K132)</f>
        <v/>
      </c>
      <c r="M132" s="20">
        <f>MIN(K132,MAX(0,$H$131-(L132-K132)))/$H$131</f>
        <v/>
      </c>
      <c r="N132" s="2">
        <f>IF(COUNTIF($I$2:$I$182,I132)&gt;1,"Yes","No")</f>
        <v/>
      </c>
    </row>
    <row r="133">
      <c r="A133" s="15" t="n">
        <v>65</v>
      </c>
      <c r="B133" s="16" t="inlineStr">
        <is>
          <t>b97b1fa7</t>
        </is>
      </c>
      <c r="C133" s="17" t="inlineStr">
        <is>
          <t>Zalaegerszeg Bitumen Refinery</t>
        </is>
      </c>
      <c r="D133" s="16" t="inlineStr">
        <is>
          <t>u_0237</t>
        </is>
      </c>
      <c r="E133" s="17" t="inlineStr">
        <is>
          <t>A1V Atmospheric Distillation</t>
        </is>
      </c>
      <c r="F133" s="18" t="n">
        <v>199318</v>
      </c>
      <c r="G133" s="18">
        <f>F133*0.8</f>
        <v/>
      </c>
      <c r="H133" s="18">
        <f>SUM(G133:G133)</f>
        <v/>
      </c>
      <c r="I133" s="16" t="inlineStr">
        <is>
          <t>a6813687</t>
        </is>
      </c>
      <c r="J133" s="19" t="n">
        <v>249.4</v>
      </c>
      <c r="K133" s="18" t="n">
        <v>5709416</v>
      </c>
      <c r="L133" s="18">
        <f>SUM(K133:K133)</f>
        <v/>
      </c>
      <c r="M133" s="21">
        <f>MIN(K133,MAX(0,$H$133-(L133-K133)))/$H$133</f>
        <v/>
      </c>
      <c r="N133" s="15">
        <f>IF(COUNTIF($I$2:$I$182,I133)&gt;1,"Yes","No")</f>
        <v/>
      </c>
    </row>
    <row r="134">
      <c r="A134" s="15" t="n">
        <v>66</v>
      </c>
      <c r="B134" s="16" t="inlineStr">
        <is>
          <t>b9b7b8a8</t>
        </is>
      </c>
      <c r="C134" s="17" t="inlineStr">
        <is>
          <t>Leuna Refinery</t>
        </is>
      </c>
      <c r="D134" s="16" t="inlineStr">
        <is>
          <t>u_0238</t>
        </is>
      </c>
      <c r="E134" s="17" t="inlineStr">
        <is>
          <t>Crude Distillation</t>
        </is>
      </c>
      <c r="F134" s="18" t="n">
        <v>11959094</v>
      </c>
      <c r="G134" s="18">
        <f>F134*0.8</f>
        <v/>
      </c>
      <c r="H134" s="18">
        <f>SUM(G134:G134)</f>
        <v/>
      </c>
      <c r="I134" s="16" t="inlineStr">
        <is>
          <t>9c25973d</t>
        </is>
      </c>
      <c r="J134" s="19" t="n">
        <v>284.4</v>
      </c>
      <c r="K134" s="18" t="n">
        <v>10745</v>
      </c>
      <c r="L134" s="18">
        <f>SUM(K134:K134)</f>
        <v/>
      </c>
      <c r="M134" s="21">
        <f>MIN(K134,MAX(0,$H$134-(L134-K134)))/$H$134</f>
        <v/>
      </c>
      <c r="N134" s="15">
        <f>IF(COUNTIF($I$2:$I$182,I134)&gt;1,"Yes","No")</f>
        <v/>
      </c>
    </row>
    <row r="135">
      <c r="A135" s="2" t="n"/>
      <c r="B135" s="3" t="inlineStr">
        <is>
          <t>b9b7b8a8</t>
        </is>
      </c>
      <c r="C135" s="4" t="inlineStr">
        <is>
          <t>Leuna Refinery</t>
        </is>
      </c>
      <c r="D135" s="3" t="n"/>
      <c r="E135" s="4" t="n"/>
      <c r="F135" s="5" t="n"/>
      <c r="G135" s="5" t="n"/>
      <c r="H135" s="5" t="n"/>
      <c r="I135" s="3" t="inlineStr">
        <is>
          <t>9944fac5</t>
        </is>
      </c>
      <c r="J135" s="11" t="n">
        <v>318.8</v>
      </c>
      <c r="K135" s="5" t="n">
        <v>5692623</v>
      </c>
      <c r="L135" s="5">
        <f>SUM(K134:K135)</f>
        <v/>
      </c>
      <c r="M135" s="20">
        <f>MIN(K135,MAX(0,$H$134-(L135-K135)))/$H$134</f>
        <v/>
      </c>
      <c r="N135" s="2">
        <f>IF(COUNTIF($I$2:$I$182,I135)&gt;1,"Yes","No")</f>
        <v/>
      </c>
    </row>
    <row r="136">
      <c r="A136" s="2" t="n"/>
      <c r="B136" s="3" t="inlineStr">
        <is>
          <t>b9b7b8a8</t>
        </is>
      </c>
      <c r="C136" s="4" t="inlineStr">
        <is>
          <t>Leuna Refinery</t>
        </is>
      </c>
      <c r="D136" s="3" t="n"/>
      <c r="E136" s="4" t="n"/>
      <c r="F136" s="5" t="n"/>
      <c r="G136" s="5" t="n"/>
      <c r="H136" s="5" t="n"/>
      <c r="I136" s="3" t="inlineStr">
        <is>
          <t>1cd9103c</t>
        </is>
      </c>
      <c r="J136" s="11" t="n">
        <v>347.6</v>
      </c>
      <c r="K136" s="5" t="n">
        <v>2827210</v>
      </c>
      <c r="L136" s="5">
        <f>SUM(K134:K136)</f>
        <v/>
      </c>
      <c r="M136" s="20">
        <f>MIN(K136,MAX(0,$H$134-(L136-K136)))/$H$134</f>
        <v/>
      </c>
      <c r="N136" s="2">
        <f>IF(COUNTIF($I$2:$I$182,I136)&gt;1,"Yes","No")</f>
        <v/>
      </c>
    </row>
    <row r="137">
      <c r="A137" s="2" t="n"/>
      <c r="B137" s="3" t="inlineStr">
        <is>
          <t>b9b7b8a8</t>
        </is>
      </c>
      <c r="C137" s="4" t="inlineStr">
        <is>
          <t>Leuna Refinery</t>
        </is>
      </c>
      <c r="D137" s="3" t="n"/>
      <c r="E137" s="4" t="n"/>
      <c r="F137" s="5" t="n"/>
      <c r="G137" s="5" t="n"/>
      <c r="H137" s="5" t="n"/>
      <c r="I137" s="3" t="inlineStr">
        <is>
          <t>19240ddd</t>
        </is>
      </c>
      <c r="J137" s="11" t="n">
        <v>362.8</v>
      </c>
      <c r="K137" s="5" t="n">
        <v>15460532</v>
      </c>
      <c r="L137" s="5">
        <f>SUM(K134:K137)</f>
        <v/>
      </c>
      <c r="M137" s="20">
        <f>MIN(K137,MAX(0,$H$134-(L137-K137)))/$H$134</f>
        <v/>
      </c>
      <c r="N137" s="2">
        <f>IF(COUNTIF($I$2:$I$182,I137)&gt;1,"Yes","No")</f>
        <v/>
      </c>
    </row>
    <row r="138">
      <c r="A138" s="15" t="n">
        <v>67</v>
      </c>
      <c r="B138" s="16" t="inlineStr">
        <is>
          <t>ba34bcc6</t>
        </is>
      </c>
      <c r="C138" s="17" t="inlineStr">
        <is>
          <t>Petrotel-Lukoil Refinery</t>
        </is>
      </c>
      <c r="D138" s="16" t="inlineStr">
        <is>
          <t>u_0239</t>
        </is>
      </c>
      <c r="E138" s="17" t="inlineStr">
        <is>
          <t>Atmospheric Distillation (DAV3)</t>
        </is>
      </c>
      <c r="F138" s="18" t="n">
        <v>2391819</v>
      </c>
      <c r="G138" s="18">
        <f>F138*0.8</f>
        <v/>
      </c>
      <c r="H138" s="18">
        <f>SUM(G138:G138)</f>
        <v/>
      </c>
      <c r="I138" s="16" t="inlineStr">
        <is>
          <t>65d622bd</t>
        </is>
      </c>
      <c r="J138" s="19" t="n">
        <v>218.7</v>
      </c>
      <c r="K138" s="18" t="n">
        <v>5666538</v>
      </c>
      <c r="L138" s="18">
        <f>SUM(K138:K138)</f>
        <v/>
      </c>
      <c r="M138" s="21">
        <f>MIN(K138,MAX(0,$H$138-(L138-K138)))/$H$138</f>
        <v/>
      </c>
      <c r="N138" s="15">
        <f>IF(COUNTIF($I$2:$I$182,I138)&gt;1,"Yes","No")</f>
        <v/>
      </c>
    </row>
    <row r="139">
      <c r="A139" s="15" t="n">
        <v>68</v>
      </c>
      <c r="B139" s="16" t="inlineStr">
        <is>
          <t>bb6398b6</t>
        </is>
      </c>
      <c r="C139" s="17" t="inlineStr">
        <is>
          <t>Rheinland Godorf Refinery (North)</t>
        </is>
      </c>
      <c r="D139" s="16" t="inlineStr">
        <is>
          <t>u_0240</t>
        </is>
      </c>
      <c r="E139" s="17" t="inlineStr">
        <is>
          <t>Crude Distillation 1</t>
        </is>
      </c>
      <c r="F139" s="18" t="n">
        <v>3986365</v>
      </c>
      <c r="G139" s="18">
        <f>F139*0.8</f>
        <v/>
      </c>
      <c r="H139" s="18">
        <f>SUM(G139:G140)</f>
        <v/>
      </c>
      <c r="I139" s="16" t="inlineStr">
        <is>
          <t>a138d843</t>
        </is>
      </c>
      <c r="J139" s="19" t="n">
        <v>189.9</v>
      </c>
      <c r="K139" s="18" t="n">
        <v>151859</v>
      </c>
      <c r="L139" s="18">
        <f>SUM(K139:K139)</f>
        <v/>
      </c>
      <c r="M139" s="21">
        <f>MIN(K139,MAX(0,$H$139-(L139-K139)))/$H$139</f>
        <v/>
      </c>
      <c r="N139" s="15">
        <f>IF(COUNTIF($I$2:$I$182,I139)&gt;1,"Yes","No")</f>
        <v/>
      </c>
    </row>
    <row r="140">
      <c r="A140" s="2" t="n"/>
      <c r="B140" s="3" t="inlineStr">
        <is>
          <t>bb6398b6</t>
        </is>
      </c>
      <c r="C140" s="4" t="inlineStr">
        <is>
          <t>Rheinland Godorf Refinery (North)</t>
        </is>
      </c>
      <c r="D140" s="3" t="inlineStr">
        <is>
          <t>u_0241</t>
        </is>
      </c>
      <c r="E140" s="4" t="inlineStr">
        <is>
          <t>Crude Distillation 2</t>
        </is>
      </c>
      <c r="F140" s="5" t="n">
        <v>5481252</v>
      </c>
      <c r="G140" s="5">
        <f>F140*0.8</f>
        <v/>
      </c>
      <c r="H140" s="5" t="n"/>
      <c r="I140" s="3" t="inlineStr">
        <is>
          <t>09ce0874</t>
        </is>
      </c>
      <c r="J140" s="11" t="n">
        <v>217.2</v>
      </c>
      <c r="K140" s="5" t="n">
        <v>921238</v>
      </c>
      <c r="L140" s="5">
        <f>SUM(K139:K140)</f>
        <v/>
      </c>
      <c r="M140" s="20">
        <f>MIN(K140,MAX(0,$H$139-(L140-K140)))/$H$139</f>
        <v/>
      </c>
      <c r="N140" s="2">
        <f>IF(COUNTIF($I$2:$I$182,I140)&gt;1,"Yes","No")</f>
        <v/>
      </c>
    </row>
    <row r="141">
      <c r="A141" s="2" t="n"/>
      <c r="B141" s="3" t="inlineStr">
        <is>
          <t>bb6398b6</t>
        </is>
      </c>
      <c r="C141" s="4" t="inlineStr">
        <is>
          <t>Rheinland Godorf Refinery (North)</t>
        </is>
      </c>
      <c r="D141" s="3" t="n"/>
      <c r="E141" s="4" t="n"/>
      <c r="F141" s="5" t="n"/>
      <c r="G141" s="5" t="n"/>
      <c r="H141" s="5" t="n"/>
      <c r="I141" s="3" t="inlineStr">
        <is>
          <t>7ad6df35</t>
        </is>
      </c>
      <c r="J141" s="11" t="n">
        <v>220.8</v>
      </c>
      <c r="K141" s="5" t="n">
        <v>64173052</v>
      </c>
      <c r="L141" s="5">
        <f>SUM(K139:K141)</f>
        <v/>
      </c>
      <c r="M141" s="20">
        <f>MIN(K141,MAX(0,$H$139-(L141-K141)))/$H$139</f>
        <v/>
      </c>
      <c r="N141" s="2">
        <f>IF(COUNTIF($I$2:$I$182,I141)&gt;1,"Yes","No")</f>
        <v/>
      </c>
    </row>
    <row r="142">
      <c r="A142" s="15" t="n">
        <v>69</v>
      </c>
      <c r="B142" s="16" t="inlineStr">
        <is>
          <t>be27ba75</t>
        </is>
      </c>
      <c r="C142" s="17" t="inlineStr">
        <is>
          <t>Corinth Refinery</t>
        </is>
      </c>
      <c r="D142" s="16" t="inlineStr">
        <is>
          <t>u_0242</t>
        </is>
      </c>
      <c r="E142" s="17" t="inlineStr">
        <is>
          <t>Crude U-1100 (Crude 1)</t>
        </is>
      </c>
      <c r="F142" s="18" t="n">
        <v>6976138</v>
      </c>
      <c r="G142" s="18">
        <f>F142*0.8</f>
        <v/>
      </c>
      <c r="H142" s="18">
        <f>SUM(G142:G143)</f>
        <v/>
      </c>
      <c r="I142" s="16" t="inlineStr">
        <is>
          <t>e4de39ff</t>
        </is>
      </c>
      <c r="J142" s="19" t="n">
        <v>2.5</v>
      </c>
      <c r="K142" s="18" t="n">
        <v>7027505</v>
      </c>
      <c r="L142" s="18">
        <f>SUM(K142:K142)</f>
        <v/>
      </c>
      <c r="M142" s="21">
        <f>MIN(K142,MAX(0,$H$142-(L142-K142)))/$H$142</f>
        <v/>
      </c>
      <c r="N142" s="15">
        <f>IF(COUNTIF($I$2:$I$182,I142)&gt;1,"Yes","No")</f>
        <v/>
      </c>
    </row>
    <row r="143">
      <c r="A143" s="2" t="n"/>
      <c r="B143" s="3" t="inlineStr">
        <is>
          <t>be27ba75</t>
        </is>
      </c>
      <c r="C143" s="4" t="inlineStr">
        <is>
          <t>Corinth Refinery</t>
        </is>
      </c>
      <c r="D143" s="3" t="inlineStr">
        <is>
          <t>u_0243</t>
        </is>
      </c>
      <c r="E143" s="4" t="inlineStr">
        <is>
          <t>Crude U-7100 (Crude 2)</t>
        </is>
      </c>
      <c r="F143" s="5" t="n">
        <v>2989774</v>
      </c>
      <c r="G143" s="5">
        <f>F143*0.8</f>
        <v/>
      </c>
      <c r="H143" s="5" t="n"/>
      <c r="I143" s="3" t="inlineStr">
        <is>
          <t>e682bb86</t>
        </is>
      </c>
      <c r="J143" s="11" t="n">
        <v>28.8</v>
      </c>
      <c r="K143" s="5" t="n">
        <v>9041881</v>
      </c>
      <c r="L143" s="5">
        <f>SUM(K142:K143)</f>
        <v/>
      </c>
      <c r="M143" s="20">
        <f>MIN(K143,MAX(0,$H$142-(L143-K143)))/$H$142</f>
        <v/>
      </c>
      <c r="N143" s="2">
        <f>IF(COUNTIF($I$2:$I$182,I143)&gt;1,"Yes","No")</f>
        <v/>
      </c>
    </row>
    <row r="144">
      <c r="A144" s="15" t="n">
        <v>70</v>
      </c>
      <c r="B144" s="16" t="inlineStr">
        <is>
          <t>c3199690</t>
        </is>
      </c>
      <c r="C144" s="17" t="inlineStr">
        <is>
          <t>Preemraff Gothenburg Refinery</t>
        </is>
      </c>
      <c r="D144" s="16" t="inlineStr">
        <is>
          <t>u_0251</t>
        </is>
      </c>
      <c r="E144" s="17" t="inlineStr">
        <is>
          <t>Crude Distillation 1</t>
        </is>
      </c>
      <c r="F144" s="18" t="n">
        <v>3134279</v>
      </c>
      <c r="G144" s="18">
        <f>F144*0.8</f>
        <v/>
      </c>
      <c r="H144" s="18">
        <f>SUM(G144:G145)</f>
        <v/>
      </c>
      <c r="I144" s="16" t="inlineStr">
        <is>
          <t>5002acae</t>
        </is>
      </c>
      <c r="J144" s="19" t="n">
        <v>3.8</v>
      </c>
      <c r="K144" s="18" t="n">
        <v>8329977</v>
      </c>
      <c r="L144" s="18">
        <f>SUM(K144:K144)</f>
        <v/>
      </c>
      <c r="M144" s="21">
        <f>MIN(K144,MAX(0,$H$144-(L144-K144)))/$H$144</f>
        <v/>
      </c>
      <c r="N144" s="15">
        <f>IF(COUNTIF($I$2:$I$182,I144)&gt;1,"Yes","No")</f>
        <v/>
      </c>
    </row>
    <row r="145">
      <c r="A145" s="2" t="n"/>
      <c r="B145" s="3" t="inlineStr">
        <is>
          <t>c3199690</t>
        </is>
      </c>
      <c r="C145" s="4" t="inlineStr">
        <is>
          <t>Preemraff Gothenburg Refinery</t>
        </is>
      </c>
      <c r="D145" s="3" t="inlineStr">
        <is>
          <t>u_0252</t>
        </is>
      </c>
      <c r="E145" s="4" t="inlineStr">
        <is>
          <t>Crude Distillation 2</t>
        </is>
      </c>
      <c r="F145" s="5" t="n">
        <v>3134279</v>
      </c>
      <c r="G145" s="5">
        <f>F145*0.8</f>
        <v/>
      </c>
      <c r="H145" s="5" t="n"/>
      <c r="I145" s="3" t="n"/>
      <c r="J145" s="11" t="n"/>
      <c r="K145" s="5" t="n"/>
      <c r="L145" s="5" t="n"/>
    </row>
    <row r="146">
      <c r="A146" s="15" t="n">
        <v>71</v>
      </c>
      <c r="B146" s="16" t="inlineStr">
        <is>
          <t>c4ac66e9</t>
        </is>
      </c>
      <c r="C146" s="17" t="inlineStr">
        <is>
          <t>Api Ancona Refinery</t>
        </is>
      </c>
      <c r="D146" s="16" t="inlineStr">
        <is>
          <t>u_0254</t>
        </is>
      </c>
      <c r="E146" s="17" t="inlineStr">
        <is>
          <t>Topping (1000)</t>
        </is>
      </c>
      <c r="F146" s="18" t="n">
        <v>4235513</v>
      </c>
      <c r="G146" s="18">
        <f>F146*0.8</f>
        <v/>
      </c>
      <c r="H146" s="18">
        <f>SUM(G146:G146)</f>
        <v/>
      </c>
      <c r="I146" s="16" t="inlineStr">
        <is>
          <t>db8af6ec</t>
        </is>
      </c>
      <c r="J146" s="19" t="n">
        <v>2.6</v>
      </c>
      <c r="K146" s="18" t="n">
        <v>106161</v>
      </c>
      <c r="L146" s="18">
        <f>SUM(K146:K146)</f>
        <v/>
      </c>
      <c r="M146" s="21">
        <f>MIN(K146,MAX(0,$H$146-(L146-K146)))/$H$146</f>
        <v/>
      </c>
      <c r="N146" s="15">
        <f>IF(COUNTIF($I$2:$I$182,I146)&gt;1,"Yes","No")</f>
        <v/>
      </c>
    </row>
    <row r="147">
      <c r="A147" s="2" t="n"/>
      <c r="B147" s="3" t="inlineStr">
        <is>
          <t>c4ac66e9</t>
        </is>
      </c>
      <c r="C147" s="4" t="inlineStr">
        <is>
          <t>Api Ancona Refinery</t>
        </is>
      </c>
      <c r="D147" s="3" t="n"/>
      <c r="E147" s="4" t="n"/>
      <c r="F147" s="5" t="n"/>
      <c r="G147" s="5" t="n"/>
      <c r="H147" s="5" t="n"/>
      <c r="I147" s="3" t="inlineStr">
        <is>
          <t>0ae30682</t>
        </is>
      </c>
      <c r="J147" s="11" t="n">
        <v>16.4</v>
      </c>
      <c r="K147" s="5" t="n">
        <v>2200061</v>
      </c>
      <c r="L147" s="5">
        <f>SUM(K146:K147)</f>
        <v/>
      </c>
      <c r="M147" s="20">
        <f>MIN(K147,MAX(0,$H$146-(L147-K147)))/$H$146</f>
        <v/>
      </c>
      <c r="N147" s="2">
        <f>IF(COUNTIF($I$2:$I$182,I147)&gt;1,"Yes","No")</f>
        <v/>
      </c>
    </row>
    <row r="148">
      <c r="A148" s="2" t="n"/>
      <c r="B148" s="3" t="inlineStr">
        <is>
          <t>c4ac66e9</t>
        </is>
      </c>
      <c r="C148" s="4" t="inlineStr">
        <is>
          <t>Api Ancona Refinery</t>
        </is>
      </c>
      <c r="D148" s="3" t="n"/>
      <c r="E148" s="4" t="n"/>
      <c r="F148" s="5" t="n"/>
      <c r="G148" s="5" t="n"/>
      <c r="H148" s="5" t="n"/>
      <c r="I148" s="3" t="inlineStr">
        <is>
          <t>741e890b</t>
        </is>
      </c>
      <c r="J148" s="11" t="n">
        <v>129.2</v>
      </c>
      <c r="K148" s="5" t="n">
        <v>51965</v>
      </c>
      <c r="L148" s="5">
        <f>SUM(K146:K148)</f>
        <v/>
      </c>
      <c r="M148" s="20">
        <f>MIN(K148,MAX(0,$H$146-(L148-K148)))/$H$146</f>
        <v/>
      </c>
      <c r="N148" s="2">
        <f>IF(COUNTIF($I$2:$I$182,I148)&gt;1,"Yes","No")</f>
        <v/>
      </c>
    </row>
    <row r="149">
      <c r="A149" s="2" t="n"/>
      <c r="B149" s="3" t="inlineStr">
        <is>
          <t>c4ac66e9</t>
        </is>
      </c>
      <c r="C149" s="4" t="inlineStr">
        <is>
          <t>Api Ancona Refinery</t>
        </is>
      </c>
      <c r="D149" s="3" t="n"/>
      <c r="E149" s="4" t="n"/>
      <c r="F149" s="5" t="n"/>
      <c r="G149" s="5" t="n"/>
      <c r="H149" s="5" t="n"/>
      <c r="I149" s="3" t="inlineStr">
        <is>
          <t>a6813687</t>
        </is>
      </c>
      <c r="J149" s="11" t="n">
        <v>203.7</v>
      </c>
      <c r="K149" s="5" t="n">
        <v>5709416</v>
      </c>
      <c r="L149" s="5">
        <f>SUM(K146:K149)</f>
        <v/>
      </c>
      <c r="M149" s="20">
        <f>MIN(K149,MAX(0,$H$146-(L149-K149)))/$H$146</f>
        <v/>
      </c>
      <c r="N149" s="2">
        <f>IF(COUNTIF($I$2:$I$182,I149)&gt;1,"Yes","No")</f>
        <v/>
      </c>
    </row>
    <row r="150">
      <c r="A150" s="15" t="n">
        <v>72</v>
      </c>
      <c r="B150" s="16" t="inlineStr">
        <is>
          <t>c64eed0e</t>
        </is>
      </c>
      <c r="C150" s="17" t="inlineStr">
        <is>
          <t>Bayernoil Vohburg Refinery</t>
        </is>
      </c>
      <c r="D150" s="16" t="inlineStr">
        <is>
          <t>u_0255</t>
        </is>
      </c>
      <c r="E150" s="17" t="inlineStr">
        <is>
          <t>Topping 1</t>
        </is>
      </c>
      <c r="F150" s="18" t="n">
        <v>2989774</v>
      </c>
      <c r="G150" s="18">
        <f>F150*0.8</f>
        <v/>
      </c>
      <c r="H150" s="18">
        <f>SUM(G150:G151)</f>
        <v/>
      </c>
      <c r="I150" s="16" t="inlineStr">
        <is>
          <t>ae36b05f</t>
        </is>
      </c>
      <c r="J150" s="19" t="n">
        <v>386.7</v>
      </c>
      <c r="K150" s="18" t="n">
        <v>40943147</v>
      </c>
      <c r="L150" s="18">
        <f>SUM(K150:K150)</f>
        <v/>
      </c>
      <c r="M150" s="21">
        <f>MIN(K150,MAX(0,$H$150-(L150-K150)))/$H$150</f>
        <v/>
      </c>
      <c r="N150" s="15">
        <f>IF(COUNTIF($I$2:$I$182,I150)&gt;1,"Yes","No")</f>
        <v/>
      </c>
    </row>
    <row r="151">
      <c r="A151" s="2" t="n"/>
      <c r="B151" s="3" t="inlineStr">
        <is>
          <t>c64eed0e</t>
        </is>
      </c>
      <c r="C151" s="4" t="inlineStr">
        <is>
          <t>Bayernoil Vohburg Refinery</t>
        </is>
      </c>
      <c r="D151" s="3" t="inlineStr">
        <is>
          <t>u_0256</t>
        </is>
      </c>
      <c r="E151" s="4" t="inlineStr">
        <is>
          <t>Topping 2</t>
        </is>
      </c>
      <c r="F151" s="5" t="n">
        <v>2989774</v>
      </c>
      <c r="G151" s="5">
        <f>F151*0.8</f>
        <v/>
      </c>
      <c r="H151" s="5" t="n"/>
      <c r="I151" s="3" t="n"/>
      <c r="J151" s="11" t="n"/>
      <c r="K151" s="5" t="n"/>
      <c r="L151" s="5" t="n"/>
    </row>
    <row r="152">
      <c r="A152" s="15" t="n">
        <v>73</v>
      </c>
      <c r="B152" s="16" t="inlineStr">
        <is>
          <t>c7665fa4</t>
        </is>
      </c>
      <c r="C152" s="17" t="inlineStr">
        <is>
          <t>Kirikkale Refinery</t>
        </is>
      </c>
      <c r="D152" s="16" t="inlineStr">
        <is>
          <t>u_0257</t>
        </is>
      </c>
      <c r="E152" s="17" t="inlineStr">
        <is>
          <t>Crude (ADU) (Plt 1100)</t>
        </is>
      </c>
      <c r="F152" s="18" t="n">
        <v>5640706</v>
      </c>
      <c r="G152" s="18">
        <f>F152*0.8</f>
        <v/>
      </c>
      <c r="H152" s="18">
        <f>SUM(G152:G152)</f>
        <v/>
      </c>
      <c r="I152" s="16" t="inlineStr">
        <is>
          <t>7c408615</t>
        </is>
      </c>
      <c r="J152" s="19" t="n">
        <v>332.9</v>
      </c>
      <c r="K152" s="18" t="n">
        <v>9476257</v>
      </c>
      <c r="L152" s="18">
        <f>SUM(K152:K152)</f>
        <v/>
      </c>
      <c r="M152" s="21">
        <f>MIN(K152,MAX(0,$H$152-(L152-K152)))/$H$152</f>
        <v/>
      </c>
      <c r="N152" s="15">
        <f>IF(COUNTIF($I$2:$I$182,I152)&gt;1,"Yes","No")</f>
        <v/>
      </c>
    </row>
    <row r="153">
      <c r="A153" s="15" t="n">
        <v>74</v>
      </c>
      <c r="B153" s="16" t="inlineStr">
        <is>
          <t>c7729100</t>
        </is>
      </c>
      <c r="C153" s="17" t="inlineStr">
        <is>
          <t>Castellon Refinery</t>
        </is>
      </c>
      <c r="D153" s="16" t="inlineStr">
        <is>
          <t>u_0258</t>
        </is>
      </c>
      <c r="E153" s="17" t="inlineStr">
        <is>
          <t>Crude</t>
        </is>
      </c>
      <c r="F153" s="18" t="n">
        <v>5182274</v>
      </c>
      <c r="G153" s="18">
        <f>F153*0.8</f>
        <v/>
      </c>
      <c r="H153" s="18">
        <f>SUM(G153:G153)</f>
        <v/>
      </c>
      <c r="I153" s="16" t="inlineStr">
        <is>
          <t>e27c1bf9</t>
        </is>
      </c>
      <c r="J153" s="19" t="n">
        <v>2.6</v>
      </c>
      <c r="K153" s="18" t="n">
        <v>5171769</v>
      </c>
      <c r="L153" s="18">
        <f>SUM(K153:K153)</f>
        <v/>
      </c>
      <c r="M153" s="21">
        <f>MIN(K153,MAX(0,$H$153-(L153-K153)))/$H$153</f>
        <v/>
      </c>
      <c r="N153" s="15">
        <f>IF(COUNTIF($I$2:$I$182,I153)&gt;1,"Yes","No")</f>
        <v/>
      </c>
    </row>
    <row r="154">
      <c r="A154" s="15" t="n">
        <v>75</v>
      </c>
      <c r="B154" s="16" t="inlineStr">
        <is>
          <t>c78f7046</t>
        </is>
      </c>
      <c r="C154" s="17" t="inlineStr">
        <is>
          <t>Mazeikiai Refinery</t>
        </is>
      </c>
      <c r="D154" s="16" t="inlineStr">
        <is>
          <t>u_0259</t>
        </is>
      </c>
      <c r="E154" s="17" t="inlineStr">
        <is>
          <t>CDU- S100 (Crude 01)</t>
        </is>
      </c>
      <c r="F154" s="18" t="n">
        <v>9467616</v>
      </c>
      <c r="G154" s="18">
        <f>F154*0.8</f>
        <v/>
      </c>
      <c r="H154" s="18">
        <f>SUM(G154:G154)</f>
        <v/>
      </c>
      <c r="I154" s="16" t="inlineStr">
        <is>
          <t>9eaa9be9</t>
        </is>
      </c>
      <c r="J154" s="19" t="n">
        <v>84.3</v>
      </c>
      <c r="K154" s="18" t="n">
        <v>9333213</v>
      </c>
      <c r="L154" s="18">
        <f>SUM(K154:K154)</f>
        <v/>
      </c>
      <c r="M154" s="21">
        <f>MIN(K154,MAX(0,$H$154-(L154-K154)))/$H$154</f>
        <v/>
      </c>
      <c r="N154" s="15">
        <f>IF(COUNTIF($I$2:$I$182,I154)&gt;1,"Yes","No")</f>
        <v/>
      </c>
    </row>
    <row r="155">
      <c r="A155" s="15" t="n">
        <v>76</v>
      </c>
      <c r="B155" s="16" t="inlineStr">
        <is>
          <t>cc164d13</t>
        </is>
      </c>
      <c r="C155" s="17" t="inlineStr">
        <is>
          <t>San Roque Energy Park (Gibraltar Refinery)</t>
        </is>
      </c>
      <c r="D155" s="16" t="inlineStr">
        <is>
          <t>u_0264</t>
        </is>
      </c>
      <c r="E155" s="17" t="inlineStr">
        <is>
          <t>Crude 1</t>
        </is>
      </c>
      <c r="F155" s="18" t="n">
        <v>5830059</v>
      </c>
      <c r="G155" s="18">
        <f>F155*0.8</f>
        <v/>
      </c>
      <c r="H155" s="18">
        <f>SUM(G155:G156)</f>
        <v/>
      </c>
      <c r="I155" s="16" t="inlineStr">
        <is>
          <t>c427150a</t>
        </is>
      </c>
      <c r="J155" s="19" t="n">
        <v>5.2</v>
      </c>
      <c r="K155" s="18" t="n">
        <v>10428830</v>
      </c>
      <c r="L155" s="18">
        <f>SUM(K155:K155)</f>
        <v/>
      </c>
      <c r="M155" s="21">
        <f>MIN(K155,MAX(0,$H$155-(L155-K155)))/$H$155</f>
        <v/>
      </c>
      <c r="N155" s="15">
        <f>IF(COUNTIF($I$2:$I$182,I155)&gt;1,"Yes","No")</f>
        <v/>
      </c>
    </row>
    <row r="156">
      <c r="A156" s="2" t="n"/>
      <c r="B156" s="3" t="inlineStr">
        <is>
          <t>cc164d13</t>
        </is>
      </c>
      <c r="C156" s="4" t="inlineStr">
        <is>
          <t>San Roque Energy Park (Gibraltar Refinery)</t>
        </is>
      </c>
      <c r="D156" s="3" t="inlineStr">
        <is>
          <t>u_0265</t>
        </is>
      </c>
      <c r="E156" s="4" t="inlineStr">
        <is>
          <t>Crude 3</t>
        </is>
      </c>
      <c r="F156" s="5" t="n">
        <v>6477843</v>
      </c>
      <c r="G156" s="5">
        <f>F156*0.8</f>
        <v/>
      </c>
      <c r="H156" s="5" t="n"/>
      <c r="I156" s="3" t="n"/>
      <c r="J156" s="11" t="n"/>
      <c r="K156" s="5" t="n"/>
      <c r="L156" s="5" t="n"/>
    </row>
    <row r="157">
      <c r="A157" s="15" t="n">
        <v>77</v>
      </c>
      <c r="B157" s="16" t="inlineStr">
        <is>
          <t>d378f0f0</t>
        </is>
      </c>
      <c r="C157" s="17" t="inlineStr">
        <is>
          <t>Priolo Gargallo ISAB Refinery (North)</t>
        </is>
      </c>
      <c r="D157" s="16" t="inlineStr">
        <is>
          <t>u_0270</t>
        </is>
      </c>
      <c r="E157" s="17" t="inlineStr">
        <is>
          <t>Topping (CR 30)</t>
        </is>
      </c>
      <c r="F157" s="18" t="n">
        <v>6178865</v>
      </c>
      <c r="G157" s="18">
        <f>F157*0.8</f>
        <v/>
      </c>
      <c r="H157" s="18">
        <f>SUM(G157:G157)</f>
        <v/>
      </c>
      <c r="I157" s="16" t="inlineStr">
        <is>
          <t>8d803d51</t>
        </is>
      </c>
      <c r="J157" s="19" t="n">
        <v>1.5</v>
      </c>
      <c r="K157" s="18" t="n">
        <v>4334604</v>
      </c>
      <c r="L157" s="18">
        <f>SUM(K157:K157)</f>
        <v/>
      </c>
      <c r="M157" s="21">
        <f>MIN(K157,MAX(0,$H$157-(L157-K157)))/$H$157</f>
        <v/>
      </c>
      <c r="N157" s="15">
        <f>IF(COUNTIF($I$2:$I$182,I157)&gt;1,"Yes","No")</f>
        <v/>
      </c>
    </row>
    <row r="158">
      <c r="A158" s="2" t="n"/>
      <c r="B158" s="3" t="inlineStr">
        <is>
          <t>d378f0f0</t>
        </is>
      </c>
      <c r="C158" s="4" t="inlineStr">
        <is>
          <t>Priolo Gargallo ISAB Refinery (North)</t>
        </is>
      </c>
      <c r="D158" s="3" t="n"/>
      <c r="E158" s="4" t="n"/>
      <c r="F158" s="5" t="n"/>
      <c r="G158" s="5" t="n"/>
      <c r="H158" s="5" t="n"/>
      <c r="I158" s="3" t="inlineStr">
        <is>
          <t>64d4fb0e</t>
        </is>
      </c>
      <c r="J158" s="11" t="n">
        <v>3.7</v>
      </c>
      <c r="K158" s="5" t="n">
        <v>6428684</v>
      </c>
      <c r="L158" s="5">
        <f>SUM(K157:K158)</f>
        <v/>
      </c>
      <c r="M158" s="20">
        <f>MIN(K158,MAX(0,$H$157-(L158-K158)))/$H$157</f>
        <v/>
      </c>
      <c r="N158" s="2">
        <f>IF(COUNTIF($I$2:$I$182,I158)&gt;1,"Yes","No")</f>
        <v/>
      </c>
    </row>
    <row r="159">
      <c r="A159" s="15" t="n">
        <v>78</v>
      </c>
      <c r="B159" s="16" t="inlineStr">
        <is>
          <t>daac8705</t>
        </is>
      </c>
      <c r="C159" s="17" t="inlineStr">
        <is>
          <t>Fawley Refinery</t>
        </is>
      </c>
      <c r="D159" s="16" t="inlineStr">
        <is>
          <t>u_0277</t>
        </is>
      </c>
      <c r="E159" s="17" t="inlineStr">
        <is>
          <t>Pipestill 1</t>
        </is>
      </c>
      <c r="F159" s="18" t="n">
        <v>3986365</v>
      </c>
      <c r="G159" s="18">
        <f>F159*0.8</f>
        <v/>
      </c>
      <c r="H159" s="18">
        <f>SUM(G159:G160)</f>
        <v/>
      </c>
      <c r="I159" s="16" t="inlineStr">
        <is>
          <t>d79eb2e2</t>
        </is>
      </c>
      <c r="J159" s="19" t="n">
        <v>2.6</v>
      </c>
      <c r="K159" s="18" t="n">
        <v>10836149</v>
      </c>
      <c r="L159" s="18">
        <f>SUM(K159:K159)</f>
        <v/>
      </c>
      <c r="M159" s="21">
        <f>MIN(K159,MAX(0,$H$159-(L159-K159)))/$H$159</f>
        <v/>
      </c>
      <c r="N159" s="15">
        <f>IF(COUNTIF($I$2:$I$182,I159)&gt;1,"Yes","No")</f>
        <v/>
      </c>
    </row>
    <row r="160">
      <c r="A160" s="2" t="n"/>
      <c r="B160" s="3" t="inlineStr">
        <is>
          <t>daac8705</t>
        </is>
      </c>
      <c r="C160" s="4" t="inlineStr">
        <is>
          <t>Fawley Refinery</t>
        </is>
      </c>
      <c r="D160" s="3" t="inlineStr">
        <is>
          <t>u_0278</t>
        </is>
      </c>
      <c r="E160" s="4" t="inlineStr">
        <is>
          <t>Pipestill 3</t>
        </is>
      </c>
      <c r="F160" s="5" t="n">
        <v>9467616</v>
      </c>
      <c r="G160" s="5">
        <f>F160*0.8</f>
        <v/>
      </c>
      <c r="H160" s="5" t="n"/>
      <c r="I160" s="3" t="n"/>
      <c r="J160" s="11" t="n"/>
      <c r="K160" s="5" t="n"/>
      <c r="L160" s="5" t="n"/>
    </row>
    <row r="161">
      <c r="A161" s="15" t="n">
        <v>79</v>
      </c>
      <c r="B161" s="16" t="inlineStr">
        <is>
          <t>e90ab211</t>
        </is>
      </c>
      <c r="C161" s="17" t="inlineStr">
        <is>
          <t>La Rabida Energy Park (La Rabida Refinery)</t>
        </is>
      </c>
      <c r="D161" s="16" t="inlineStr">
        <is>
          <t>u_0290</t>
        </is>
      </c>
      <c r="E161" s="17" t="inlineStr">
        <is>
          <t>Crude 1</t>
        </is>
      </c>
      <c r="F161" s="18" t="n">
        <v>5281933</v>
      </c>
      <c r="G161" s="18">
        <f>F161*0.8</f>
        <v/>
      </c>
      <c r="H161" s="18">
        <f>SUM(G161:G162)</f>
        <v/>
      </c>
      <c r="I161" s="16" t="inlineStr">
        <is>
          <t>6bae4a23</t>
        </is>
      </c>
      <c r="J161" s="19" t="n">
        <v>3.3</v>
      </c>
      <c r="K161" s="18" t="n">
        <v>8156763</v>
      </c>
      <c r="L161" s="18">
        <f>SUM(K161:K161)</f>
        <v/>
      </c>
      <c r="M161" s="21">
        <f>MIN(K161,MAX(0,$H$161-(L161-K161)))/$H$161</f>
        <v/>
      </c>
      <c r="N161" s="15">
        <f>IF(COUNTIF($I$2:$I$182,I161)&gt;1,"Yes","No")</f>
        <v/>
      </c>
    </row>
    <row r="162">
      <c r="A162" s="2" t="n"/>
      <c r="B162" s="3" t="inlineStr">
        <is>
          <t>e90ab211</t>
        </is>
      </c>
      <c r="C162" s="4" t="inlineStr">
        <is>
          <t>La Rabida Energy Park (La Rabida Refinery)</t>
        </is>
      </c>
      <c r="D162" s="3" t="inlineStr">
        <is>
          <t>u_0291</t>
        </is>
      </c>
      <c r="E162" s="4" t="inlineStr">
        <is>
          <t>Crude 2</t>
        </is>
      </c>
      <c r="F162" s="5" t="n">
        <v>5730399</v>
      </c>
      <c r="G162" s="5">
        <f>F162*0.8</f>
        <v/>
      </c>
      <c r="H162" s="5" t="n"/>
      <c r="I162" s="3" t="inlineStr">
        <is>
          <t>c427150a</t>
        </is>
      </c>
      <c r="J162" s="11" t="n">
        <v>175.7</v>
      </c>
      <c r="K162" s="5" t="n">
        <v>10428830</v>
      </c>
      <c r="L162" s="5">
        <f>SUM(K161:K162)</f>
        <v/>
      </c>
      <c r="M162" s="20">
        <f>MIN(K162,MAX(0,$H$161-(L162-K162)))/$H$161</f>
        <v/>
      </c>
      <c r="N162" s="2">
        <f>IF(COUNTIF($I$2:$I$182,I162)&gt;1,"Yes","No")</f>
        <v/>
      </c>
    </row>
    <row r="163">
      <c r="A163" s="15" t="n">
        <v>80</v>
      </c>
      <c r="B163" s="16" t="inlineStr">
        <is>
          <t>e9e6f955</t>
        </is>
      </c>
      <c r="C163" s="17" t="inlineStr">
        <is>
          <t>Cartagena Refinery (Repsol)</t>
        </is>
      </c>
      <c r="D163" s="16" t="inlineStr">
        <is>
          <t>u_0292</t>
        </is>
      </c>
      <c r="E163" s="17" t="inlineStr">
        <is>
          <t>Topping 3</t>
        </is>
      </c>
      <c r="F163" s="18" t="n">
        <v>4982956</v>
      </c>
      <c r="G163" s="18">
        <f>F163*0.8</f>
        <v/>
      </c>
      <c r="H163" s="18">
        <f>SUM(G163:G164)</f>
        <v/>
      </c>
      <c r="I163" s="16" t="inlineStr">
        <is>
          <t>cb0703b0</t>
        </is>
      </c>
      <c r="J163" s="19" t="n">
        <v>3.8</v>
      </c>
      <c r="K163" s="18" t="n">
        <v>14003507</v>
      </c>
      <c r="L163" s="18">
        <f>SUM(K163:K163)</f>
        <v/>
      </c>
      <c r="M163" s="21">
        <f>MIN(K163,MAX(0,$H$163-(L163-K163)))/$H$163</f>
        <v/>
      </c>
      <c r="N163" s="15">
        <f>IF(COUNTIF($I$2:$I$182,I163)&gt;1,"Yes","No")</f>
        <v/>
      </c>
    </row>
    <row r="164">
      <c r="A164" s="2" t="n"/>
      <c r="B164" s="3" t="inlineStr">
        <is>
          <t>e9e6f955</t>
        </is>
      </c>
      <c r="C164" s="4" t="inlineStr">
        <is>
          <t>Cartagena Refinery (Repsol)</t>
        </is>
      </c>
      <c r="D164" s="3" t="inlineStr">
        <is>
          <t>u_0293</t>
        </is>
      </c>
      <c r="E164" s="4" t="inlineStr">
        <is>
          <t>Topping 4 (U-601)</t>
        </is>
      </c>
      <c r="F164" s="5" t="n">
        <v>5979547</v>
      </c>
      <c r="G164" s="5">
        <f>F164*0.8</f>
        <v/>
      </c>
      <c r="H164" s="5" t="n"/>
      <c r="I164" s="3" t="n"/>
      <c r="J164" s="11" t="n"/>
      <c r="K164" s="5" t="n"/>
      <c r="L164" s="5" t="n"/>
    </row>
    <row r="165">
      <c r="A165" s="15" t="n">
        <v>81</v>
      </c>
      <c r="B165" s="16" t="inlineStr">
        <is>
          <t>eb05f2e5</t>
        </is>
      </c>
      <c r="C165" s="17" t="inlineStr">
        <is>
          <t>Gdansk Refinery</t>
        </is>
      </c>
      <c r="D165" s="16" t="inlineStr">
        <is>
          <t>u_0296</t>
        </is>
      </c>
      <c r="E165" s="17" t="inlineStr">
        <is>
          <t>CDU/VDU (120)</t>
        </is>
      </c>
      <c r="F165" s="18" t="n">
        <v>4484660</v>
      </c>
      <c r="G165" s="18">
        <f>F165*0.8</f>
        <v/>
      </c>
      <c r="H165" s="18">
        <f>SUM(G165:G166)</f>
        <v/>
      </c>
      <c r="I165" s="16" t="inlineStr">
        <is>
          <t>8a27ed79</t>
        </is>
      </c>
      <c r="J165" s="19" t="n">
        <v>5.9</v>
      </c>
      <c r="K165" s="18" t="n">
        <v>143826</v>
      </c>
      <c r="L165" s="18">
        <f>SUM(K165:K165)</f>
        <v/>
      </c>
      <c r="M165" s="21">
        <f>MIN(K165,MAX(0,$H$165-(L165-K165)))/$H$165</f>
        <v/>
      </c>
      <c r="N165" s="15">
        <f>IF(COUNTIF($I$2:$I$182,I165)&gt;1,"Yes","No")</f>
        <v/>
      </c>
    </row>
    <row r="166">
      <c r="A166" s="2" t="n"/>
      <c r="B166" s="3" t="inlineStr">
        <is>
          <t>eb05f2e5</t>
        </is>
      </c>
      <c r="C166" s="4" t="inlineStr">
        <is>
          <t>Gdansk Refinery</t>
        </is>
      </c>
      <c r="D166" s="3" t="inlineStr">
        <is>
          <t>u_0297</t>
        </is>
      </c>
      <c r="E166" s="4" t="inlineStr">
        <is>
          <t>Crude (100)</t>
        </is>
      </c>
      <c r="F166" s="5" t="n">
        <v>5979547</v>
      </c>
      <c r="G166" s="5">
        <f>F166*0.8</f>
        <v/>
      </c>
      <c r="H166" s="5" t="n"/>
      <c r="I166" s="3" t="inlineStr">
        <is>
          <t>5d688dfc</t>
        </is>
      </c>
      <c r="J166" s="11" t="n">
        <v>6.3</v>
      </c>
      <c r="K166" s="5" t="n">
        <v>37538991</v>
      </c>
      <c r="L166" s="5">
        <f>SUM(K165:K166)</f>
        <v/>
      </c>
      <c r="M166" s="20">
        <f>MIN(K166,MAX(0,$H$165-(L166-K166)))/$H$165</f>
        <v/>
      </c>
      <c r="N166" s="2">
        <f>IF(COUNTIF($I$2:$I$182,I166)&gt;1,"Yes","No")</f>
        <v/>
      </c>
    </row>
    <row r="167">
      <c r="A167" s="15" t="n">
        <v>82</v>
      </c>
      <c r="B167" s="16" t="inlineStr">
        <is>
          <t>eddbcbe4</t>
        </is>
      </c>
      <c r="C167" s="17" t="inlineStr">
        <is>
          <t>Lingen Emsland Refinery</t>
        </is>
      </c>
      <c r="D167" s="16" t="inlineStr">
        <is>
          <t>u_0298</t>
        </is>
      </c>
      <c r="E167" s="17" t="inlineStr">
        <is>
          <t>Crude 1</t>
        </is>
      </c>
      <c r="F167" s="18" t="n">
        <v>2317075</v>
      </c>
      <c r="G167" s="18">
        <f>F167*0.8</f>
        <v/>
      </c>
      <c r="H167" s="18">
        <f>SUM(G167:G168)</f>
        <v/>
      </c>
      <c r="I167" s="16" t="inlineStr">
        <is>
          <t>19240ddd</t>
        </is>
      </c>
      <c r="J167" s="19" t="n">
        <v>124.3</v>
      </c>
      <c r="K167" s="18" t="n">
        <v>15460532</v>
      </c>
      <c r="L167" s="18">
        <f>SUM(K167:K167)</f>
        <v/>
      </c>
      <c r="M167" s="21">
        <f>MIN(K167,MAX(0,$H$167-(L167-K167)))/$H$167</f>
        <v/>
      </c>
      <c r="N167" s="15">
        <f>IF(COUNTIF($I$2:$I$182,I167)&gt;1,"Yes","No")</f>
        <v/>
      </c>
    </row>
    <row r="168">
      <c r="A168" s="2" t="n"/>
      <c r="B168" s="3" t="inlineStr">
        <is>
          <t>eddbcbe4</t>
        </is>
      </c>
      <c r="C168" s="4" t="inlineStr">
        <is>
          <t>Lingen Emsland Refinery</t>
        </is>
      </c>
      <c r="D168" s="3" t="inlineStr">
        <is>
          <t>u_0299</t>
        </is>
      </c>
      <c r="E168" s="4" t="inlineStr">
        <is>
          <t>Crude 2</t>
        </is>
      </c>
      <c r="F168" s="5" t="n">
        <v>2317075</v>
      </c>
      <c r="G168" s="5">
        <f>F168*0.8</f>
        <v/>
      </c>
      <c r="H168" s="5" t="n"/>
      <c r="I168" s="3" t="n"/>
      <c r="J168" s="11" t="n"/>
      <c r="K168" s="5" t="n"/>
      <c r="L168" s="5" t="n"/>
    </row>
    <row r="169">
      <c r="A169" s="15" t="n">
        <v>83</v>
      </c>
      <c r="B169" s="16" t="inlineStr">
        <is>
          <t>f04fa134</t>
        </is>
      </c>
      <c r="C169" s="17" t="inlineStr">
        <is>
          <t>Eastham Refinery</t>
        </is>
      </c>
      <c r="D169" s="16" t="inlineStr">
        <is>
          <t>u_0303</t>
        </is>
      </c>
      <c r="E169" s="17" t="inlineStr">
        <is>
          <t>Crude</t>
        </is>
      </c>
      <c r="F169" s="18" t="n">
        <v>996591</v>
      </c>
      <c r="G169" s="18">
        <f>F169*0.8</f>
        <v/>
      </c>
      <c r="H169" s="18">
        <f>SUM(G169:G169)</f>
        <v/>
      </c>
      <c r="I169" s="16" t="inlineStr">
        <is>
          <t>e766d6af</t>
        </is>
      </c>
      <c r="J169" s="19" t="n">
        <v>13</v>
      </c>
      <c r="K169" s="18" t="n">
        <v>8038625</v>
      </c>
      <c r="L169" s="18">
        <f>SUM(K169:K169)</f>
        <v/>
      </c>
      <c r="M169" s="21">
        <f>MIN(K169,MAX(0,$H$169-(L169-K169)))/$H$169</f>
        <v/>
      </c>
      <c r="N169" s="15">
        <f>IF(COUNTIF($I$2:$I$182,I169)&gt;1,"Yes","No")</f>
        <v/>
      </c>
    </row>
    <row r="170">
      <c r="A170" s="15" t="n">
        <v>84</v>
      </c>
      <c r="B170" s="16" t="inlineStr">
        <is>
          <t>f082d14f</t>
        </is>
      </c>
      <c r="C170" s="17" t="inlineStr">
        <is>
          <t>Plock Refinery</t>
        </is>
      </c>
      <c r="D170" s="16" t="inlineStr">
        <is>
          <t>u_0304</t>
        </is>
      </c>
      <c r="E170" s="17" t="inlineStr">
        <is>
          <t>CDU II</t>
        </is>
      </c>
      <c r="F170" s="18" t="n">
        <v>3460763</v>
      </c>
      <c r="G170" s="18">
        <f>F170*0.8</f>
        <v/>
      </c>
      <c r="H170" s="18">
        <f>SUM(G170:G173)</f>
        <v/>
      </c>
      <c r="I170" s="16" t="inlineStr">
        <is>
          <t>8a27ed79</t>
        </is>
      </c>
      <c r="J170" s="19" t="n">
        <v>210.8</v>
      </c>
      <c r="K170" s="18" t="n">
        <v>143826</v>
      </c>
      <c r="L170" s="18">
        <f>SUM(K170:K170)</f>
        <v/>
      </c>
      <c r="M170" s="21">
        <f>MIN(K170,MAX(0,$H$170-(L170-K170)))/$H$170</f>
        <v/>
      </c>
      <c r="N170" s="15">
        <f>IF(COUNTIF($I$2:$I$182,I170)&gt;1,"Yes","No")</f>
        <v/>
      </c>
    </row>
    <row r="171">
      <c r="A171" s="2" t="n"/>
      <c r="B171" s="3" t="inlineStr">
        <is>
          <t>f082d14f</t>
        </is>
      </c>
      <c r="C171" s="4" t="inlineStr">
        <is>
          <t>Plock Refinery</t>
        </is>
      </c>
      <c r="D171" s="3" t="inlineStr">
        <is>
          <t>u_0305</t>
        </is>
      </c>
      <c r="E171" s="4" t="inlineStr">
        <is>
          <t>CDU III</t>
        </is>
      </c>
      <c r="F171" s="5" t="n">
        <v>3460763</v>
      </c>
      <c r="G171" s="5">
        <f>F171*0.8</f>
        <v/>
      </c>
      <c r="H171" s="5" t="n"/>
      <c r="I171" s="3" t="inlineStr">
        <is>
          <t>5d688dfc</t>
        </is>
      </c>
      <c r="J171" s="11" t="n">
        <v>211.6</v>
      </c>
      <c r="K171" s="5" t="n">
        <v>37538991</v>
      </c>
      <c r="L171" s="5">
        <f>SUM(K170:K171)</f>
        <v/>
      </c>
      <c r="M171" s="20">
        <f>MIN(K171,MAX(0,$H$170-(L171-K171)))/$H$170</f>
        <v/>
      </c>
      <c r="N171" s="2">
        <f>IF(COUNTIF($I$2:$I$182,I171)&gt;1,"Yes","No")</f>
        <v/>
      </c>
    </row>
    <row r="172">
      <c r="A172" s="2" t="n"/>
      <c r="B172" s="3" t="inlineStr">
        <is>
          <t>f082d14f</t>
        </is>
      </c>
      <c r="C172" s="4" t="inlineStr">
        <is>
          <t>Plock Refinery</t>
        </is>
      </c>
      <c r="D172" s="3" t="inlineStr">
        <is>
          <t>u_0306</t>
        </is>
      </c>
      <c r="E172" s="4" t="inlineStr">
        <is>
          <t>CDU IV</t>
        </is>
      </c>
      <c r="F172" s="5" t="n">
        <v>3460763</v>
      </c>
      <c r="G172" s="5">
        <f>F172*0.8</f>
        <v/>
      </c>
      <c r="H172" s="5" t="n"/>
      <c r="I172" s="3" t="n"/>
      <c r="J172" s="11" t="n"/>
      <c r="K172" s="5" t="n"/>
      <c r="L172" s="5" t="n"/>
    </row>
    <row r="173">
      <c r="A173" s="2" t="n"/>
      <c r="B173" s="3" t="inlineStr">
        <is>
          <t>f082d14f</t>
        </is>
      </c>
      <c r="C173" s="4" t="inlineStr">
        <is>
          <t>Plock Refinery</t>
        </is>
      </c>
      <c r="D173" s="3" t="inlineStr">
        <is>
          <t>u_0307</t>
        </is>
      </c>
      <c r="E173" s="4" t="inlineStr">
        <is>
          <t>CDU VI</t>
        </is>
      </c>
      <c r="F173" s="5" t="n">
        <v>3460763</v>
      </c>
      <c r="G173" s="5">
        <f>F173*0.8</f>
        <v/>
      </c>
      <c r="H173" s="5" t="n"/>
      <c r="I173" s="3" t="n"/>
      <c r="J173" s="11" t="n"/>
      <c r="K173" s="5" t="n"/>
      <c r="L173" s="5" t="n"/>
    </row>
    <row r="174">
      <c r="A174" s="15" t="n">
        <v>85</v>
      </c>
      <c r="B174" s="16" t="inlineStr">
        <is>
          <t>f2e21dac</t>
        </is>
      </c>
      <c r="C174" s="17" t="inlineStr">
        <is>
          <t>Aegean Aliaga (Star Ege) Refinery</t>
        </is>
      </c>
      <c r="D174" s="16" t="inlineStr">
        <is>
          <t>u_0310</t>
        </is>
      </c>
      <c r="E174" s="17" t="inlineStr">
        <is>
          <t>Crude (U-100)</t>
        </is>
      </c>
      <c r="F174" s="18" t="n">
        <v>10663526</v>
      </c>
      <c r="G174" s="18">
        <f>F174*0.8</f>
        <v/>
      </c>
      <c r="H174" s="18">
        <f>SUM(G174:G174)</f>
        <v/>
      </c>
      <c r="I174" s="16" t="inlineStr">
        <is>
          <t>14f4a8c6</t>
        </is>
      </c>
      <c r="J174" s="19" t="n">
        <v>2.3</v>
      </c>
      <c r="K174" s="18" t="n">
        <v>12786436</v>
      </c>
      <c r="L174" s="18">
        <f>SUM(K174:K174)</f>
        <v/>
      </c>
      <c r="M174" s="21">
        <f>MIN(K174,MAX(0,$H$174-(L174-K174)))/$H$174</f>
        <v/>
      </c>
      <c r="N174" s="15">
        <f>IF(COUNTIF($I$2:$I$182,I174)&gt;1,"Yes","No")</f>
        <v/>
      </c>
    </row>
    <row r="175">
      <c r="A175" s="15" t="n">
        <v>86</v>
      </c>
      <c r="B175" s="16" t="inlineStr">
        <is>
          <t>f7681451</t>
        </is>
      </c>
      <c r="C175" s="17" t="inlineStr">
        <is>
          <t>Augusta Refinery</t>
        </is>
      </c>
      <c r="D175" s="16" t="inlineStr">
        <is>
          <t>u_0314</t>
        </is>
      </c>
      <c r="E175" s="17" t="inlineStr">
        <is>
          <t>Topping 4 (T-4)</t>
        </is>
      </c>
      <c r="F175" s="18" t="n">
        <v>3089433</v>
      </c>
      <c r="G175" s="18">
        <f>F175*0.8</f>
        <v/>
      </c>
      <c r="H175" s="18">
        <f>SUM(G175:G176)</f>
        <v/>
      </c>
      <c r="I175" s="16" t="inlineStr">
        <is>
          <t>64d4fb0e</t>
        </is>
      </c>
      <c r="J175" s="19" t="n">
        <v>2.7</v>
      </c>
      <c r="K175" s="18" t="n">
        <v>6428684</v>
      </c>
      <c r="L175" s="18">
        <f>SUM(K175:K175)</f>
        <v/>
      </c>
      <c r="M175" s="21">
        <f>MIN(K175,MAX(0,$H$175-(L175-K175)))/$H$175</f>
        <v/>
      </c>
      <c r="N175" s="15">
        <f>IF(COUNTIF($I$2:$I$182,I175)&gt;1,"Yes","No")</f>
        <v/>
      </c>
    </row>
    <row r="176">
      <c r="A176" s="2" t="n"/>
      <c r="B176" s="3" t="inlineStr">
        <is>
          <t>f7681451</t>
        </is>
      </c>
      <c r="C176" s="4" t="inlineStr">
        <is>
          <t>Augusta Refinery</t>
        </is>
      </c>
      <c r="D176" s="3" t="inlineStr">
        <is>
          <t>u_0315</t>
        </is>
      </c>
      <c r="E176" s="4" t="inlineStr">
        <is>
          <t>Topping 5 (T-5)</t>
        </is>
      </c>
      <c r="F176" s="5" t="n">
        <v>5580911</v>
      </c>
      <c r="G176" s="5">
        <f>F176*0.8</f>
        <v/>
      </c>
      <c r="H176" s="5" t="n"/>
      <c r="I176" s="3" t="inlineStr">
        <is>
          <t>8d803d51</t>
        </is>
      </c>
      <c r="J176" s="11" t="n">
        <v>4.8</v>
      </c>
      <c r="K176" s="5" t="n">
        <v>4334604</v>
      </c>
      <c r="L176" s="5">
        <f>SUM(K175:K176)</f>
        <v/>
      </c>
      <c r="M176" s="20">
        <f>MIN(K176,MAX(0,$H$175-(L176-K176)))/$H$175</f>
        <v/>
      </c>
      <c r="N176" s="2">
        <f>IF(COUNTIF($I$2:$I$182,I176)&gt;1,"Yes","No")</f>
        <v/>
      </c>
    </row>
    <row r="177">
      <c r="A177" s="15" t="n">
        <v>87</v>
      </c>
      <c r="B177" s="16" t="inlineStr">
        <is>
          <t>fac4c032</t>
        </is>
      </c>
      <c r="C177" s="17" t="inlineStr">
        <is>
          <t>Slovnaft Refinery (MOL Nyrt)</t>
        </is>
      </c>
      <c r="D177" s="16" t="inlineStr">
        <is>
          <t>u_0319</t>
        </is>
      </c>
      <c r="E177" s="17" t="inlineStr">
        <is>
          <t>AD 5</t>
        </is>
      </c>
      <c r="F177" s="18" t="n">
        <v>2989774</v>
      </c>
      <c r="G177" s="18">
        <f>F177*0.8</f>
        <v/>
      </c>
      <c r="H177" s="18">
        <f>SUM(G177:G178)</f>
        <v/>
      </c>
      <c r="I177" s="16" t="inlineStr">
        <is>
          <t>a6813687</t>
        </is>
      </c>
      <c r="J177" s="19" t="n">
        <v>375.4</v>
      </c>
      <c r="K177" s="18" t="n">
        <v>5709416</v>
      </c>
      <c r="L177" s="18">
        <f>SUM(K177:K177)</f>
        <v/>
      </c>
      <c r="M177" s="21">
        <f>MIN(K177,MAX(0,$H$177-(L177-K177)))/$H$177</f>
        <v/>
      </c>
      <c r="N177" s="15">
        <f>IF(COUNTIF($I$2:$I$182,I177)&gt;1,"Yes","No")</f>
        <v/>
      </c>
    </row>
    <row r="178">
      <c r="A178" s="2" t="n"/>
      <c r="B178" s="3" t="inlineStr">
        <is>
          <t>fac4c032</t>
        </is>
      </c>
      <c r="C178" s="4" t="inlineStr">
        <is>
          <t>Slovnaft Refinery (MOL Nyrt)</t>
        </is>
      </c>
      <c r="D178" s="3" t="inlineStr">
        <is>
          <t>u_0320</t>
        </is>
      </c>
      <c r="E178" s="4" t="inlineStr">
        <is>
          <t>AVD 6 (Crude-Vacuum Combo)</t>
        </is>
      </c>
      <c r="F178" s="5" t="n">
        <v>2740626</v>
      </c>
      <c r="G178" s="5">
        <f>F178*0.8</f>
        <v/>
      </c>
      <c r="H178" s="5" t="n"/>
      <c r="I178" s="3" t="n"/>
      <c r="J178" s="11" t="n"/>
      <c r="K178" s="5" t="n"/>
      <c r="L178" s="5" t="n"/>
    </row>
    <row r="179">
      <c r="A179" s="15" t="n">
        <v>88</v>
      </c>
      <c r="B179" s="16" t="inlineStr">
        <is>
          <t>fae4e58f</t>
        </is>
      </c>
      <c r="C179" s="17" t="inlineStr">
        <is>
          <t>Stanlow Refinery</t>
        </is>
      </c>
      <c r="D179" s="16" t="inlineStr">
        <is>
          <t>u_0321</t>
        </is>
      </c>
      <c r="E179" s="17" t="inlineStr">
        <is>
          <t>CDU 4</t>
        </is>
      </c>
      <c r="F179" s="18" t="n">
        <v>10962503</v>
      </c>
      <c r="G179" s="18">
        <f>F179*0.8</f>
        <v/>
      </c>
      <c r="H179" s="18">
        <f>SUM(G179:G179)</f>
        <v/>
      </c>
      <c r="I179" s="16" t="inlineStr">
        <is>
          <t>e766d6af</t>
        </is>
      </c>
      <c r="J179" s="19" t="n">
        <v>19.8</v>
      </c>
      <c r="K179" s="18" t="n">
        <v>8038625</v>
      </c>
      <c r="L179" s="18">
        <f>SUM(K179:K179)</f>
        <v/>
      </c>
      <c r="M179" s="21">
        <f>MIN(K179,MAX(0,$H$179-(L179-K179)))/$H$179</f>
        <v/>
      </c>
      <c r="N179" s="15">
        <f>IF(COUNTIF($I$2:$I$182,I179)&gt;1,"Yes","No")</f>
        <v/>
      </c>
    </row>
    <row r="180">
      <c r="A180" s="2" t="n"/>
      <c r="B180" s="3" t="inlineStr">
        <is>
          <t>fae4e58f</t>
        </is>
      </c>
      <c r="C180" s="4" t="inlineStr">
        <is>
          <t>Stanlow Refinery</t>
        </is>
      </c>
      <c r="D180" s="3" t="n"/>
      <c r="E180" s="4" t="n"/>
      <c r="F180" s="5" t="n"/>
      <c r="G180" s="5" t="n"/>
      <c r="H180" s="5" t="n"/>
      <c r="I180" s="3" t="inlineStr">
        <is>
          <t>4fc6f7af</t>
        </is>
      </c>
      <c r="J180" s="11" t="n">
        <v>180.3</v>
      </c>
      <c r="K180" s="5" t="n">
        <v>2116316</v>
      </c>
      <c r="L180" s="5">
        <f>SUM(K179:K180)</f>
        <v/>
      </c>
      <c r="M180" s="20">
        <f>MIN(K180,MAX(0,$H$179-(L180-K180)))/$H$179</f>
        <v/>
      </c>
      <c r="N180" s="2">
        <f>IF(COUNTIF($I$2:$I$182,I180)&gt;1,"Yes","No")</f>
        <v/>
      </c>
    </row>
    <row r="181">
      <c r="A181" s="15" t="n">
        <v>89</v>
      </c>
      <c r="B181" s="16" t="inlineStr">
        <is>
          <t>fbd5de55</t>
        </is>
      </c>
      <c r="C181" s="17" t="inlineStr">
        <is>
          <t>Pembroke Refinery</t>
        </is>
      </c>
      <c r="D181" s="16" t="inlineStr">
        <is>
          <t>u_0323</t>
        </is>
      </c>
      <c r="E181" s="17" t="inlineStr">
        <is>
          <t>Crude</t>
        </is>
      </c>
      <c r="F181" s="18" t="n">
        <v>10962503</v>
      </c>
      <c r="G181" s="18">
        <f>F181*0.8</f>
        <v/>
      </c>
      <c r="H181" s="18">
        <f>SUM(G181:G181)</f>
        <v/>
      </c>
      <c r="I181" s="16" t="inlineStr">
        <is>
          <t>e221d8f7</t>
        </is>
      </c>
      <c r="J181" s="19" t="n">
        <v>1.7</v>
      </c>
      <c r="K181" s="18" t="n">
        <v>10643793</v>
      </c>
      <c r="L181" s="18">
        <f>SUM(K181:K181)</f>
        <v/>
      </c>
      <c r="M181" s="21">
        <f>MIN(K181,MAX(0,$H$181-(L181-K181)))/$H$181</f>
        <v/>
      </c>
      <c r="N181" s="15">
        <f>IF(COUNTIF($I$2:$I$182,I181)&gt;1,"Yes","No")</f>
        <v/>
      </c>
    </row>
    <row r="182">
      <c r="A182" s="15" t="n">
        <v>90</v>
      </c>
      <c r="B182" s="16" t="inlineStr">
        <is>
          <t>fd662c46</t>
        </is>
      </c>
      <c r="C182" s="17" t="inlineStr">
        <is>
          <t>Kralupy nad Vltavou Refinery</t>
        </is>
      </c>
      <c r="D182" s="16" t="inlineStr">
        <is>
          <t>u_0325</t>
        </is>
      </c>
      <c r="E182" s="17" t="inlineStr">
        <is>
          <t>CDU</t>
        </is>
      </c>
      <c r="F182" s="18" t="n">
        <v>3388410</v>
      </c>
      <c r="G182" s="18">
        <f>F182*0.8</f>
        <v/>
      </c>
      <c r="H182" s="18">
        <f>SUM(G182:G182)</f>
        <v/>
      </c>
      <c r="I182" s="16" t="inlineStr">
        <is>
          <t>9944fac5</t>
        </is>
      </c>
      <c r="J182" s="19" t="n">
        <v>458.7</v>
      </c>
      <c r="K182" s="18" t="n">
        <v>5692623</v>
      </c>
      <c r="L182" s="18">
        <f>SUM(K182:K182)</f>
        <v/>
      </c>
      <c r="M182" s="21">
        <f>MIN(K182,MAX(0,$H$182-(L182-K182)))/$H$182</f>
        <v/>
      </c>
      <c r="N182" s="15">
        <f>IF(COUNTIF($I$2:$I$182,I182)&gt;1,"Yes","No")</f>
        <v/>
      </c>
    </row>
  </sheetData>
  <autoFilter ref="A1:N182"/>
  <conditionalFormatting sqref="N2:N182">
    <cfRule type="cellIs" priority="1" operator="equal" dxfId="3">
      <formula>"Yes"</formula>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2026-10-08T13:10:54Z</dcterms:created>
  <dcterms:modified xsi:type="dcterms:W3CDTF">2026-10-08T13:53:59Z</dcterms:modified>
  <cp:lastModifiedBy>Alessandro Trigilio</cp:lastModifiedBy>
</cp:coreProperties>
</file>