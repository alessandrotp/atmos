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less\Desktop\Atmos\"/>
    </mc:Choice>
  </mc:AlternateContent>
  <xr:revisionPtr revIDLastSave="0" documentId="11_1CF3732EDC9296E441B325E2D094BF920DCFAF6D" xr6:coauthVersionLast="47" xr6:coauthVersionMax="47" xr10:uidLastSave="{00000000-0000-0000-0000-000000000000}"/>
  <bookViews>
    <workbookView xWindow="-120" yWindow="-120" windowWidth="49440" windowHeight="21840" xr2:uid="{00000000-000D-0000-FFFF-FFFF00000000}"/>
  </bookViews>
  <sheets>
    <sheet name="report" sheetId="1" r:id="rId1"/>
  </sheets>
  <definedNames>
    <definedName name="_xlnm._FilterDatabase" localSheetId="0" hidden="1">report!$A$1:$M$75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3" i="1" l="1"/>
  <c r="H73" i="1" s="1"/>
  <c r="G69" i="1"/>
  <c r="H69" i="1" s="1"/>
  <c r="G65" i="1"/>
  <c r="H65" i="1" s="1"/>
  <c r="H63" i="1"/>
  <c r="G63" i="1"/>
  <c r="G62" i="1"/>
  <c r="H62" i="1" s="1"/>
  <c r="G58" i="1"/>
  <c r="H58" i="1" s="1"/>
  <c r="G56" i="1"/>
  <c r="H56" i="1" s="1"/>
  <c r="G54" i="1"/>
  <c r="H54" i="1" s="1"/>
  <c r="G52" i="1"/>
  <c r="H52" i="1" s="1"/>
  <c r="G50" i="1"/>
  <c r="H50" i="1" s="1"/>
  <c r="G46" i="1"/>
  <c r="H46" i="1" s="1"/>
  <c r="G42" i="1"/>
  <c r="H42" i="1" s="1"/>
  <c r="G39" i="1"/>
  <c r="H39" i="1" s="1"/>
  <c r="G36" i="1"/>
  <c r="H36" i="1" s="1"/>
  <c r="G34" i="1"/>
  <c r="H34" i="1" s="1"/>
  <c r="G33" i="1"/>
  <c r="H33" i="1" s="1"/>
  <c r="G32" i="1"/>
  <c r="H32" i="1" s="1"/>
  <c r="G27" i="1"/>
  <c r="H27" i="1" s="1"/>
  <c r="H24" i="1"/>
  <c r="G24" i="1"/>
  <c r="G22" i="1"/>
  <c r="H22" i="1" s="1"/>
  <c r="G20" i="1"/>
  <c r="H20" i="1" s="1"/>
  <c r="G18" i="1"/>
  <c r="H18" i="1" s="1"/>
  <c r="G15" i="1"/>
  <c r="H15" i="1" s="1"/>
  <c r="G13" i="1"/>
  <c r="H13" i="1" s="1"/>
  <c r="G8" i="1"/>
  <c r="H8" i="1" s="1"/>
  <c r="G6" i="1"/>
  <c r="H6" i="1" s="1"/>
  <c r="G4" i="1"/>
  <c r="H4" i="1" s="1"/>
  <c r="G2" i="1"/>
  <c r="H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L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Share of the cracker's naphtha need supplied by this row's partner via this mode. Need = 2.75 x actual capacity (column H); a partner's output = its design capacity x 0.8 x 0.075 (column Q). Partners are used in priority order: pipeline, then barge, then rail, closest first within a mode; when one cannot cover everything, the next supplies the rest. NOT shared: every cracker may use each partner's full output, so a partner's naphtha can be counted for several crackers (see column R). The rows of a cracker add up to the share covered (1 = fully covered). Calculated values, not formulas.</t>
        </r>
      </text>
    </comment>
  </commentList>
</comments>
</file>

<file path=xl/sharedStrings.xml><?xml version="1.0" encoding="utf-8"?>
<sst xmlns="http://schemas.openxmlformats.org/spreadsheetml/2006/main" count="360" uniqueCount="176">
  <si>
    <t>cracker_number</t>
  </si>
  <si>
    <t>facility_id</t>
  </si>
  <si>
    <t>facility_name</t>
  </si>
  <si>
    <t>unit_id</t>
  </si>
  <si>
    <t>unit_name</t>
  </si>
  <si>
    <t>design_capacity_t_per_year</t>
  </si>
  <si>
    <t>actual_capacity_t_per_year</t>
  </si>
  <si>
    <t>naphta_required_t_per_year</t>
  </si>
  <si>
    <t>partner_facility_id</t>
  </si>
  <si>
    <t>partner_name</t>
  </si>
  <si>
    <t>mode</t>
  </si>
  <si>
    <t>naphta_supplied_fraction</t>
  </si>
  <si>
    <t>note</t>
  </si>
  <si>
    <t>15e16c3c</t>
  </si>
  <si>
    <t>Boehlen Chemical Complex</t>
  </si>
  <si>
    <t>u_0029</t>
  </si>
  <si>
    <t>Ethylene</t>
  </si>
  <si>
    <t>858966f0</t>
  </si>
  <si>
    <t>Schwechat Refinery</t>
  </si>
  <si>
    <t>pipeline</t>
  </si>
  <si>
    <t>b9b7b8a8</t>
  </si>
  <si>
    <t>Leuna Refinery</t>
  </si>
  <si>
    <t>1c67c9a5</t>
  </si>
  <si>
    <t>Moerdijk Chemicals</t>
  </si>
  <si>
    <t>u_0040</t>
  </si>
  <si>
    <t>1e8ccaa5</t>
  </si>
  <si>
    <t>Pernis Refinery</t>
  </si>
  <si>
    <t>765d6912</t>
  </si>
  <si>
    <t>BP Rotterdam Refinery</t>
  </si>
  <si>
    <t>1e04ae30</t>
  </si>
  <si>
    <t>Porvoo Olefins</t>
  </si>
  <si>
    <t>u_0043</t>
  </si>
  <si>
    <t>159fda82</t>
  </si>
  <si>
    <t>Bilbao Refinery</t>
  </si>
  <si>
    <t>rail</t>
  </si>
  <si>
    <t>19564e64</t>
  </si>
  <si>
    <t>Puertollano Refinery</t>
  </si>
  <si>
    <t>28bd0211</t>
  </si>
  <si>
    <t>Tarragona Olefins (Dow Norte)</t>
  </si>
  <si>
    <t>u_0059</t>
  </si>
  <si>
    <t>24bb32b4</t>
  </si>
  <si>
    <t>Tarragona Refinery</t>
  </si>
  <si>
    <t>307f8e57</t>
  </si>
  <si>
    <t>ASESA Asphalt Refinery</t>
  </si>
  <si>
    <t>391abb50</t>
  </si>
  <si>
    <t>Feyzin Refinery</t>
  </si>
  <si>
    <t>39dc8740</t>
  </si>
  <si>
    <t>Fos-sur-Mer Refinery</t>
  </si>
  <si>
    <t>a81a21a0</t>
  </si>
  <si>
    <t>Petroineos Lavera Refinery</t>
  </si>
  <si>
    <t>2d714da1</t>
  </si>
  <si>
    <t>Gonfreville Petrochemical Complex</t>
  </si>
  <si>
    <t>u_0065</t>
  </si>
  <si>
    <t>Steam Cracker</t>
  </si>
  <si>
    <t>26af24bb</t>
  </si>
  <si>
    <t>Gonfreville Refinery (Normandie)</t>
  </si>
  <si>
    <t>85b45fea</t>
  </si>
  <si>
    <t>Notre-Dame-de-Gravenchon Refinery</t>
  </si>
  <si>
    <t>3f8e5330</t>
  </si>
  <si>
    <t>Pfaffenhofen (Muenchsmuenster) Ethylene Complex</t>
  </si>
  <si>
    <t>u_0082</t>
  </si>
  <si>
    <t>4ce24db9</t>
  </si>
  <si>
    <t>Ingolstadt Refinery</t>
  </si>
  <si>
    <t>70d5316a</t>
  </si>
  <si>
    <t>Bayernoil Neustadt Refinery</t>
  </si>
  <si>
    <t>c64eed0e</t>
  </si>
  <si>
    <t>Bayernoil Vohburg Refinery</t>
  </si>
  <si>
    <t>47cf22ae</t>
  </si>
  <si>
    <t>Terneuzen Petrochemical</t>
  </si>
  <si>
    <t>u_0086</t>
  </si>
  <si>
    <t>LHC 1</t>
  </si>
  <si>
    <t>62086957</t>
  </si>
  <si>
    <t>Antwerpen Refinery</t>
  </si>
  <si>
    <t>a6630b6f</t>
  </si>
  <si>
    <t>Zeeland Refinery</t>
  </si>
  <si>
    <t>u_0087</t>
  </si>
  <si>
    <t>LHC 2</t>
  </si>
  <si>
    <t>u_0088</t>
  </si>
  <si>
    <t>LHC 3</t>
  </si>
  <si>
    <t>47f7223d</t>
  </si>
  <si>
    <t>Litvinov Petrochemical Complex</t>
  </si>
  <si>
    <t>u_0090</t>
  </si>
  <si>
    <t>a43ffbc5</t>
  </si>
  <si>
    <t>Litvinov Refinery</t>
  </si>
  <si>
    <t>fac4c032</t>
  </si>
  <si>
    <t>Slovnaft Refinery (MOL Nyrt)</t>
  </si>
  <si>
    <t>fd662c46</t>
  </si>
  <si>
    <t>Kralupy nad Vltavou Refinery</t>
  </si>
  <si>
    <t>4ff39f24</t>
  </si>
  <si>
    <t>Lavera Ethylene</t>
  </si>
  <si>
    <t>u_0105</t>
  </si>
  <si>
    <t>58b886ef</t>
  </si>
  <si>
    <t>Iplom Refinery</t>
  </si>
  <si>
    <t>extra</t>
  </si>
  <si>
    <t>Assumed closest partner</t>
  </si>
  <si>
    <t>7ebca8e8</t>
  </si>
  <si>
    <t>Sannazzaro Refinery</t>
  </si>
  <si>
    <t>5add53e0</t>
  </si>
  <si>
    <t>Ludwigshafen Chemical Complex</t>
  </si>
  <si>
    <t>u_0117</t>
  </si>
  <si>
    <t>Ethylene No. 1</t>
  </si>
  <si>
    <t>4a4d05f7</t>
  </si>
  <si>
    <t>MiRO Refinery Karlsruhe</t>
  </si>
  <si>
    <t>u_0118</t>
  </si>
  <si>
    <t>Ethylene No. 2</t>
  </si>
  <si>
    <t>5c3c3ded</t>
  </si>
  <si>
    <t>Dunkirk Nord Petrochemicals</t>
  </si>
  <si>
    <t>u_0119</t>
  </si>
  <si>
    <t>6406e1e8</t>
  </si>
  <si>
    <t>Berre-l'Etang Petrochemicals</t>
  </si>
  <si>
    <t>u_0127</t>
  </si>
  <si>
    <t>Steam Cracker (aka U250)</t>
  </si>
  <si>
    <t>6a46fddb</t>
  </si>
  <si>
    <t>Chemelot-Geleen Chemical Complex</t>
  </si>
  <si>
    <t>u_0133</t>
  </si>
  <si>
    <t>Naphthacracker - NAK 4</t>
  </si>
  <si>
    <t>30d8879f</t>
  </si>
  <si>
    <t>Gelsenkirchen Horst Refinery</t>
  </si>
  <si>
    <t>bb6398b6</t>
  </si>
  <si>
    <t>Rheinland Godorf Refinery (North)</t>
  </si>
  <si>
    <t>73be680c</t>
  </si>
  <si>
    <t>Cologne Petrochemicals Complex</t>
  </si>
  <si>
    <t>u_0144</t>
  </si>
  <si>
    <t>Ethylene Cracker 4</t>
  </si>
  <si>
    <t>383f296e</t>
  </si>
  <si>
    <t>Rotterdam Refinery</t>
  </si>
  <si>
    <t>6a54ad25</t>
  </si>
  <si>
    <t>Gelsenkirchen Scholven Refinery</t>
  </si>
  <si>
    <t>u_0145</t>
  </si>
  <si>
    <t>Ethylene Cracker 5</t>
  </si>
  <si>
    <t>74b0c40d</t>
  </si>
  <si>
    <t>Total Olefins Antwerp</t>
  </si>
  <si>
    <t>u_0148</t>
  </si>
  <si>
    <t>Naphtha Cracker 2</t>
  </si>
  <si>
    <t>7a3911e7</t>
  </si>
  <si>
    <t>Antwerp Refinery</t>
  </si>
  <si>
    <t>u_0149</t>
  </si>
  <si>
    <t>Naphtha Cracker 3</t>
  </si>
  <si>
    <t>88392c56</t>
  </si>
  <si>
    <t>Aliaga Petrochemical Complex</t>
  </si>
  <si>
    <t>u_0179</t>
  </si>
  <si>
    <t>f2e21dac</t>
  </si>
  <si>
    <t>Aegean Aliaga (Star Ege) Refinery</t>
  </si>
  <si>
    <t>b345de20</t>
  </si>
  <si>
    <t>Wesseling Olefins and Monomers Complex</t>
  </si>
  <si>
    <t>u_0228</t>
  </si>
  <si>
    <t>Ethylene Cracker OM4</t>
  </si>
  <si>
    <t>u_0229</t>
  </si>
  <si>
    <t>Ethylene Cracker OM6</t>
  </si>
  <si>
    <t>be6d7aaa</t>
  </si>
  <si>
    <t>Visp Chemical Complex</t>
  </si>
  <si>
    <t>u_0244</t>
  </si>
  <si>
    <t>0a8165e3</t>
  </si>
  <si>
    <t>Cressier Refinery</t>
  </si>
  <si>
    <t>c023abf1</t>
  </si>
  <si>
    <t>Bratislava Petrochemical Complex</t>
  </si>
  <si>
    <t>u_0249</t>
  </si>
  <si>
    <t>eed57791</t>
  </si>
  <si>
    <t>Tiszaujvaros Petrochemical Complex</t>
  </si>
  <si>
    <t>u_0300</t>
  </si>
  <si>
    <t>Olefin 1</t>
  </si>
  <si>
    <t>4b8f324d</t>
  </si>
  <si>
    <t>Szazhalombatta Duna Refinery</t>
  </si>
  <si>
    <t>7ec4e655</t>
  </si>
  <si>
    <t>Apateu Refinery</t>
  </si>
  <si>
    <t>35c64be4</t>
  </si>
  <si>
    <t>Jedlicze Refinery</t>
  </si>
  <si>
    <t>57c8a769</t>
  </si>
  <si>
    <t>Trzebinia Refinery</t>
  </si>
  <si>
    <t>u_0301</t>
  </si>
  <si>
    <t>Olefin 2</t>
  </si>
  <si>
    <t>ffc8d3be</t>
  </si>
  <si>
    <t>Pancevo Petrochemical Complex</t>
  </si>
  <si>
    <t>u_0328</t>
  </si>
  <si>
    <t>46e5aa3e</t>
  </si>
  <si>
    <t>Pancevo Refinery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</si>
</sst>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385723"/>
      </patternFill>
    </fill>
  </fills>
  <borders count="2">
    <border>
      <left/>
      <right/>
      <top/>
      <bottom/>
      <diagonal/>
    </border>
    <border>
      <left/>
      <right/>
      <top style="thin">
        <color rgb="FF80808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" fontId="2" fillId="0" borderId="0" xfId="0" applyNumberFormat="1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2" fontId="2" fillId="0" borderId="0" xfId="0" applyNumberFormat="1" applyFont="1"/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5"/>
  <sheetViews>
    <sheetView tabSelected="1" workbookViewId="0">
      <pane ySplit="1" topLeftCell="A2" activePane="bottomLeft" state="frozen"/>
      <selection pane="bottomLeft" activeCell="Q26" sqref="Q26"/>
    </sheetView>
  </sheetViews>
  <sheetFormatPr defaultRowHeight="15" x14ac:dyDescent="0.25"/>
  <cols>
    <col min="1" max="1" width="16" customWidth="1"/>
    <col min="2" max="2" width="13" customWidth="1"/>
    <col min="3" max="3" width="49" customWidth="1"/>
    <col min="4" max="4" width="9" customWidth="1"/>
    <col min="5" max="5" width="26" customWidth="1"/>
    <col min="6" max="8" width="28" customWidth="1"/>
    <col min="9" max="9" width="21" customWidth="1"/>
    <col min="10" max="10" width="35" customWidth="1"/>
    <col min="11" max="11" width="10" customWidth="1"/>
    <col min="12" max="12" width="26" customWidth="1"/>
    <col min="13" max="13" width="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3">
        <v>1</v>
      </c>
      <c r="B2" s="4" t="s">
        <v>13</v>
      </c>
      <c r="C2" s="4" t="s">
        <v>14</v>
      </c>
      <c r="D2" s="4" t="s">
        <v>15</v>
      </c>
      <c r="E2" s="5" t="s">
        <v>16</v>
      </c>
      <c r="F2" s="6">
        <v>565176</v>
      </c>
      <c r="G2" s="6">
        <f>F2*0.8</f>
        <v>452140.80000000005</v>
      </c>
      <c r="H2" s="6">
        <f>2.75*G2</f>
        <v>1243387.2000000002</v>
      </c>
      <c r="I2" s="4" t="s">
        <v>17</v>
      </c>
      <c r="J2" s="4" t="s">
        <v>18</v>
      </c>
      <c r="K2" s="4" t="s">
        <v>19</v>
      </c>
      <c r="L2" s="7">
        <v>0.4229</v>
      </c>
    </row>
    <row r="3" spans="1:13" x14ac:dyDescent="0.25">
      <c r="I3" s="4" t="s">
        <v>20</v>
      </c>
      <c r="J3" s="4" t="s">
        <v>21</v>
      </c>
      <c r="K3" s="4" t="s">
        <v>19</v>
      </c>
      <c r="L3" s="7">
        <v>0.57709999999999995</v>
      </c>
    </row>
    <row r="4" spans="1:13" x14ac:dyDescent="0.25">
      <c r="A4" s="8">
        <v>2</v>
      </c>
      <c r="B4" s="9" t="s">
        <v>22</v>
      </c>
      <c r="C4" s="9" t="s">
        <v>23</v>
      </c>
      <c r="D4" s="9" t="s">
        <v>24</v>
      </c>
      <c r="E4" s="10" t="s">
        <v>16</v>
      </c>
      <c r="F4" s="11">
        <v>939843</v>
      </c>
      <c r="G4" s="11">
        <f>F4*0.8</f>
        <v>751874.4</v>
      </c>
      <c r="H4" s="11">
        <f>2.75*G4</f>
        <v>2067654.6</v>
      </c>
      <c r="I4" s="9" t="s">
        <v>25</v>
      </c>
      <c r="J4" s="9" t="s">
        <v>26</v>
      </c>
      <c r="K4" s="9" t="s">
        <v>19</v>
      </c>
      <c r="L4" s="12">
        <v>0.57840000000000003</v>
      </c>
      <c r="M4" s="13"/>
    </row>
    <row r="5" spans="1:13" x14ac:dyDescent="0.25">
      <c r="I5" s="4" t="s">
        <v>27</v>
      </c>
      <c r="J5" s="4" t="s">
        <v>28</v>
      </c>
      <c r="K5" s="4" t="s">
        <v>19</v>
      </c>
      <c r="L5" s="7">
        <v>0.42159999999999997</v>
      </c>
    </row>
    <row r="6" spans="1:13" x14ac:dyDescent="0.25">
      <c r="A6" s="8">
        <v>3</v>
      </c>
      <c r="B6" s="9" t="s">
        <v>29</v>
      </c>
      <c r="C6" s="9" t="s">
        <v>30</v>
      </c>
      <c r="D6" s="9" t="s">
        <v>31</v>
      </c>
      <c r="E6" s="10" t="s">
        <v>16</v>
      </c>
      <c r="F6" s="11">
        <v>430006</v>
      </c>
      <c r="G6" s="11">
        <f>F6*0.8</f>
        <v>344004.80000000005</v>
      </c>
      <c r="H6" s="11">
        <f>2.75*G6</f>
        <v>946013.20000000019</v>
      </c>
      <c r="I6" s="9" t="s">
        <v>32</v>
      </c>
      <c r="J6" s="9" t="s">
        <v>33</v>
      </c>
      <c r="K6" s="9" t="s">
        <v>34</v>
      </c>
      <c r="L6" s="12">
        <v>0.69530000000000003</v>
      </c>
      <c r="M6" s="13"/>
    </row>
    <row r="7" spans="1:13" x14ac:dyDescent="0.25">
      <c r="I7" s="4" t="s">
        <v>35</v>
      </c>
      <c r="J7" s="4" t="s">
        <v>36</v>
      </c>
      <c r="K7" s="4" t="s">
        <v>34</v>
      </c>
      <c r="L7" s="7">
        <v>0.30470000000000003</v>
      </c>
    </row>
    <row r="8" spans="1:13" x14ac:dyDescent="0.25">
      <c r="A8" s="8">
        <v>4</v>
      </c>
      <c r="B8" s="9" t="s">
        <v>37</v>
      </c>
      <c r="C8" s="9" t="s">
        <v>38</v>
      </c>
      <c r="D8" s="9" t="s">
        <v>39</v>
      </c>
      <c r="E8" s="10" t="s">
        <v>16</v>
      </c>
      <c r="F8" s="11">
        <v>659977</v>
      </c>
      <c r="G8" s="11">
        <f>F8*0.8</f>
        <v>527981.6</v>
      </c>
      <c r="H8" s="11">
        <f>2.75*G8</f>
        <v>1451949.4</v>
      </c>
      <c r="I8" s="9" t="s">
        <v>40</v>
      </c>
      <c r="J8" s="9" t="s">
        <v>41</v>
      </c>
      <c r="K8" s="9" t="s">
        <v>19</v>
      </c>
      <c r="L8" s="12">
        <v>0.35830000000000001</v>
      </c>
      <c r="M8" s="13"/>
    </row>
    <row r="9" spans="1:13" x14ac:dyDescent="0.25">
      <c r="I9" s="4" t="s">
        <v>42</v>
      </c>
      <c r="J9" s="4" t="s">
        <v>43</v>
      </c>
      <c r="K9" s="4" t="s">
        <v>19</v>
      </c>
      <c r="L9" s="7">
        <v>6.1800000000000001E-2</v>
      </c>
    </row>
    <row r="10" spans="1:13" x14ac:dyDescent="0.25">
      <c r="I10" s="4" t="s">
        <v>44</v>
      </c>
      <c r="J10" s="4" t="s">
        <v>45</v>
      </c>
      <c r="K10" s="4" t="s">
        <v>34</v>
      </c>
      <c r="L10" s="7">
        <v>0.2409</v>
      </c>
    </row>
    <row r="11" spans="1:13" x14ac:dyDescent="0.25">
      <c r="I11" s="4" t="s">
        <v>46</v>
      </c>
      <c r="J11" s="4" t="s">
        <v>47</v>
      </c>
      <c r="K11" s="4" t="s">
        <v>34</v>
      </c>
      <c r="L11" s="7">
        <v>0.2883</v>
      </c>
    </row>
    <row r="12" spans="1:13" x14ac:dyDescent="0.25">
      <c r="I12" s="4" t="s">
        <v>48</v>
      </c>
      <c r="J12" s="4" t="s">
        <v>49</v>
      </c>
      <c r="K12" s="4" t="s">
        <v>34</v>
      </c>
      <c r="L12" s="7">
        <v>5.0700000000000002E-2</v>
      </c>
    </row>
    <row r="13" spans="1:13" x14ac:dyDescent="0.25">
      <c r="A13" s="8">
        <v>5</v>
      </c>
      <c r="B13" s="9" t="s">
        <v>50</v>
      </c>
      <c r="C13" s="9" t="s">
        <v>51</v>
      </c>
      <c r="D13" s="9" t="s">
        <v>52</v>
      </c>
      <c r="E13" s="10" t="s">
        <v>53</v>
      </c>
      <c r="F13" s="11">
        <v>519817</v>
      </c>
      <c r="G13" s="11">
        <f>F13*0.8</f>
        <v>415853.60000000003</v>
      </c>
      <c r="H13" s="11">
        <f>2.75*G13</f>
        <v>1143597.4000000001</v>
      </c>
      <c r="I13" s="9" t="s">
        <v>54</v>
      </c>
      <c r="J13" s="9" t="s">
        <v>55</v>
      </c>
      <c r="K13" s="9" t="s">
        <v>19</v>
      </c>
      <c r="L13" s="12">
        <v>0.65359999999999996</v>
      </c>
      <c r="M13" s="13"/>
    </row>
    <row r="14" spans="1:13" x14ac:dyDescent="0.25">
      <c r="I14" s="4" t="s">
        <v>56</v>
      </c>
      <c r="J14" s="4" t="s">
        <v>57</v>
      </c>
      <c r="K14" s="4" t="s">
        <v>19</v>
      </c>
      <c r="L14" s="7">
        <v>0.34639999999999999</v>
      </c>
    </row>
    <row r="15" spans="1:13" x14ac:dyDescent="0.25">
      <c r="A15" s="8">
        <v>6</v>
      </c>
      <c r="B15" s="9" t="s">
        <v>58</v>
      </c>
      <c r="C15" s="9" t="s">
        <v>59</v>
      </c>
      <c r="D15" s="9" t="s">
        <v>60</v>
      </c>
      <c r="E15" s="10" t="s">
        <v>16</v>
      </c>
      <c r="F15" s="11">
        <v>364688</v>
      </c>
      <c r="G15" s="11">
        <f>F15*0.8</f>
        <v>291750.40000000002</v>
      </c>
      <c r="H15" s="11">
        <f>2.75*G15</f>
        <v>802313.60000000009</v>
      </c>
      <c r="I15" s="9" t="s">
        <v>61</v>
      </c>
      <c r="J15" s="9" t="s">
        <v>62</v>
      </c>
      <c r="K15" s="9" t="s">
        <v>19</v>
      </c>
      <c r="L15" s="12">
        <v>0.2324</v>
      </c>
      <c r="M15" s="13"/>
    </row>
    <row r="16" spans="1:13" x14ac:dyDescent="0.25">
      <c r="I16" s="4" t="s">
        <v>63</v>
      </c>
      <c r="J16" s="4" t="s">
        <v>64</v>
      </c>
      <c r="K16" s="4" t="s">
        <v>19</v>
      </c>
      <c r="L16" s="7">
        <v>0.32050000000000001</v>
      </c>
    </row>
    <row r="17" spans="1:13" x14ac:dyDescent="0.25">
      <c r="I17" s="4" t="s">
        <v>65</v>
      </c>
      <c r="J17" s="4" t="s">
        <v>66</v>
      </c>
      <c r="K17" s="4" t="s">
        <v>19</v>
      </c>
      <c r="L17" s="7">
        <v>0.44719999999999999</v>
      </c>
    </row>
    <row r="18" spans="1:13" x14ac:dyDescent="0.25">
      <c r="A18" s="8">
        <v>7</v>
      </c>
      <c r="B18" s="9" t="s">
        <v>67</v>
      </c>
      <c r="C18" s="9" t="s">
        <v>68</v>
      </c>
      <c r="D18" s="9" t="s">
        <v>69</v>
      </c>
      <c r="E18" s="10" t="s">
        <v>70</v>
      </c>
      <c r="F18" s="11">
        <v>594660</v>
      </c>
      <c r="G18" s="11">
        <f>F18*0.8</f>
        <v>475728</v>
      </c>
      <c r="H18" s="11">
        <f>2.75*G18</f>
        <v>1308252</v>
      </c>
      <c r="I18" s="9" t="s">
        <v>71</v>
      </c>
      <c r="J18" s="9" t="s">
        <v>72</v>
      </c>
      <c r="K18" s="9" t="s">
        <v>19</v>
      </c>
      <c r="L18" s="12">
        <v>0.65029999999999999</v>
      </c>
      <c r="M18" s="13"/>
    </row>
    <row r="19" spans="1:13" x14ac:dyDescent="0.25">
      <c r="I19" s="4" t="s">
        <v>73</v>
      </c>
      <c r="J19" s="4" t="s">
        <v>74</v>
      </c>
      <c r="K19" s="4" t="s">
        <v>19</v>
      </c>
      <c r="L19" s="7">
        <v>0.34970000000000001</v>
      </c>
    </row>
    <row r="20" spans="1:13" x14ac:dyDescent="0.25">
      <c r="A20" s="8">
        <v>8</v>
      </c>
      <c r="B20" s="9" t="s">
        <v>67</v>
      </c>
      <c r="C20" s="9" t="s">
        <v>68</v>
      </c>
      <c r="D20" s="9" t="s">
        <v>75</v>
      </c>
      <c r="E20" s="10" t="s">
        <v>76</v>
      </c>
      <c r="F20" s="11">
        <v>594660</v>
      </c>
      <c r="G20" s="11">
        <f>F20*0.8</f>
        <v>475728</v>
      </c>
      <c r="H20" s="11">
        <f>2.75*G20</f>
        <v>1308252</v>
      </c>
      <c r="I20" s="9" t="s">
        <v>71</v>
      </c>
      <c r="J20" s="9" t="s">
        <v>72</v>
      </c>
      <c r="K20" s="9" t="s">
        <v>19</v>
      </c>
      <c r="L20" s="12">
        <v>0.65029999999999999</v>
      </c>
      <c r="M20" s="13"/>
    </row>
    <row r="21" spans="1:13" x14ac:dyDescent="0.25">
      <c r="I21" s="4" t="s">
        <v>73</v>
      </c>
      <c r="J21" s="4" t="s">
        <v>74</v>
      </c>
      <c r="K21" s="4" t="s">
        <v>19</v>
      </c>
      <c r="L21" s="7">
        <v>0.34970000000000001</v>
      </c>
    </row>
    <row r="22" spans="1:13" x14ac:dyDescent="0.25">
      <c r="A22" s="8">
        <v>9</v>
      </c>
      <c r="B22" s="9" t="s">
        <v>67</v>
      </c>
      <c r="C22" s="9" t="s">
        <v>68</v>
      </c>
      <c r="D22" s="9" t="s">
        <v>77</v>
      </c>
      <c r="E22" s="10" t="s">
        <v>78</v>
      </c>
      <c r="F22" s="11">
        <v>594660</v>
      </c>
      <c r="G22" s="11">
        <f>F22*0.8</f>
        <v>475728</v>
      </c>
      <c r="H22" s="11">
        <f>2.75*G22</f>
        <v>1308252</v>
      </c>
      <c r="I22" s="9" t="s">
        <v>71</v>
      </c>
      <c r="J22" s="9" t="s">
        <v>72</v>
      </c>
      <c r="K22" s="9" t="s">
        <v>19</v>
      </c>
      <c r="L22" s="12">
        <v>0.65029999999999999</v>
      </c>
      <c r="M22" s="13"/>
    </row>
    <row r="23" spans="1:13" x14ac:dyDescent="0.25">
      <c r="I23" s="4" t="s">
        <v>73</v>
      </c>
      <c r="J23" s="4" t="s">
        <v>74</v>
      </c>
      <c r="K23" s="4" t="s">
        <v>19</v>
      </c>
      <c r="L23" s="7">
        <v>0.34970000000000001</v>
      </c>
    </row>
    <row r="24" spans="1:13" x14ac:dyDescent="0.25">
      <c r="A24" s="8">
        <v>10</v>
      </c>
      <c r="B24" s="9" t="s">
        <v>79</v>
      </c>
      <c r="C24" s="9" t="s">
        <v>80</v>
      </c>
      <c r="D24" s="9" t="s">
        <v>81</v>
      </c>
      <c r="E24" s="10" t="s">
        <v>16</v>
      </c>
      <c r="F24" s="11">
        <v>392221</v>
      </c>
      <c r="G24" s="11">
        <f>F24*0.8</f>
        <v>313776.8</v>
      </c>
      <c r="H24" s="11">
        <f>2.75*G24</f>
        <v>862886.2</v>
      </c>
      <c r="I24" s="9" t="s">
        <v>82</v>
      </c>
      <c r="J24" s="9" t="s">
        <v>83</v>
      </c>
      <c r="K24" s="9" t="s">
        <v>19</v>
      </c>
      <c r="L24" s="12">
        <v>0.377</v>
      </c>
      <c r="M24" s="13"/>
    </row>
    <row r="25" spans="1:13" x14ac:dyDescent="0.25">
      <c r="I25" s="4" t="s">
        <v>84</v>
      </c>
      <c r="J25" s="4" t="s">
        <v>85</v>
      </c>
      <c r="K25" s="4" t="s">
        <v>19</v>
      </c>
      <c r="L25" s="7">
        <v>0.38740000000000002</v>
      </c>
    </row>
    <row r="26" spans="1:13" x14ac:dyDescent="0.25">
      <c r="I26" s="4" t="s">
        <v>86</v>
      </c>
      <c r="J26" s="4" t="s">
        <v>87</v>
      </c>
      <c r="K26" s="4" t="s">
        <v>19</v>
      </c>
      <c r="L26" s="7">
        <v>0.2356</v>
      </c>
    </row>
    <row r="27" spans="1:13" x14ac:dyDescent="0.25">
      <c r="A27" s="8">
        <v>11</v>
      </c>
      <c r="B27" s="9" t="s">
        <v>88</v>
      </c>
      <c r="C27" s="9" t="s">
        <v>89</v>
      </c>
      <c r="D27" s="9" t="s">
        <v>90</v>
      </c>
      <c r="E27" s="10" t="s">
        <v>16</v>
      </c>
      <c r="F27" s="11">
        <v>899474</v>
      </c>
      <c r="G27" s="11">
        <f>F27*0.8</f>
        <v>719579.20000000007</v>
      </c>
      <c r="H27" s="11">
        <f>2.75*G27</f>
        <v>1978842.8000000003</v>
      </c>
      <c r="I27" s="9" t="s">
        <v>44</v>
      </c>
      <c r="J27" s="9" t="s">
        <v>45</v>
      </c>
      <c r="K27" s="9" t="s">
        <v>19</v>
      </c>
      <c r="L27" s="12">
        <v>0.17680000000000001</v>
      </c>
      <c r="M27" s="13"/>
    </row>
    <row r="28" spans="1:13" x14ac:dyDescent="0.25">
      <c r="I28" s="4" t="s">
        <v>46</v>
      </c>
      <c r="J28" s="4" t="s">
        <v>47</v>
      </c>
      <c r="K28" s="4" t="s">
        <v>19</v>
      </c>
      <c r="L28" s="7">
        <v>0.21149999999999999</v>
      </c>
    </row>
    <row r="29" spans="1:13" x14ac:dyDescent="0.25">
      <c r="I29" s="4" t="s">
        <v>48</v>
      </c>
      <c r="J29" s="4" t="s">
        <v>49</v>
      </c>
      <c r="K29" s="4" t="s">
        <v>19</v>
      </c>
      <c r="L29" s="7">
        <v>0.32940000000000003</v>
      </c>
    </row>
    <row r="30" spans="1:13" x14ac:dyDescent="0.25">
      <c r="I30" s="4" t="s">
        <v>91</v>
      </c>
      <c r="J30" s="4" t="s">
        <v>92</v>
      </c>
      <c r="K30" s="4" t="s">
        <v>93</v>
      </c>
      <c r="L30" s="7">
        <v>5.1400000000000001E-2</v>
      </c>
      <c r="M30" s="4" t="s">
        <v>94</v>
      </c>
    </row>
    <row r="31" spans="1:13" x14ac:dyDescent="0.25">
      <c r="I31" s="4" t="s">
        <v>95</v>
      </c>
      <c r="J31" s="4" t="s">
        <v>96</v>
      </c>
      <c r="K31" s="4" t="s">
        <v>93</v>
      </c>
      <c r="L31" s="7">
        <v>0.23089999999999999</v>
      </c>
      <c r="M31" s="4" t="s">
        <v>94</v>
      </c>
    </row>
    <row r="32" spans="1:13" x14ac:dyDescent="0.25">
      <c r="A32" s="8">
        <v>12</v>
      </c>
      <c r="B32" s="9" t="s">
        <v>97</v>
      </c>
      <c r="C32" s="9" t="s">
        <v>98</v>
      </c>
      <c r="D32" s="9" t="s">
        <v>99</v>
      </c>
      <c r="E32" s="10" t="s">
        <v>100</v>
      </c>
      <c r="F32" s="11">
        <v>259908</v>
      </c>
      <c r="G32" s="11">
        <f>F32*0.8</f>
        <v>207926.40000000002</v>
      </c>
      <c r="H32" s="11">
        <f>2.75*G32</f>
        <v>571797.60000000009</v>
      </c>
      <c r="I32" s="9" t="s">
        <v>101</v>
      </c>
      <c r="J32" s="9" t="s">
        <v>102</v>
      </c>
      <c r="K32" s="9" t="s">
        <v>19</v>
      </c>
      <c r="L32" s="12">
        <v>1</v>
      </c>
      <c r="M32" s="13"/>
    </row>
    <row r="33" spans="1:13" x14ac:dyDescent="0.25">
      <c r="A33" s="8">
        <v>13</v>
      </c>
      <c r="B33" s="9" t="s">
        <v>97</v>
      </c>
      <c r="C33" s="9" t="s">
        <v>98</v>
      </c>
      <c r="D33" s="9" t="s">
        <v>103</v>
      </c>
      <c r="E33" s="10" t="s">
        <v>104</v>
      </c>
      <c r="F33" s="11">
        <v>400068</v>
      </c>
      <c r="G33" s="11">
        <f>F33*0.8</f>
        <v>320054.40000000002</v>
      </c>
      <c r="H33" s="11">
        <f>2.75*G33</f>
        <v>880149.60000000009</v>
      </c>
      <c r="I33" s="9" t="s">
        <v>101</v>
      </c>
      <c r="J33" s="9" t="s">
        <v>102</v>
      </c>
      <c r="K33" s="9" t="s">
        <v>19</v>
      </c>
      <c r="L33" s="12">
        <v>1</v>
      </c>
      <c r="M33" s="13"/>
    </row>
    <row r="34" spans="1:13" x14ac:dyDescent="0.25">
      <c r="A34" s="8">
        <v>14</v>
      </c>
      <c r="B34" s="9" t="s">
        <v>105</v>
      </c>
      <c r="C34" s="9" t="s">
        <v>106</v>
      </c>
      <c r="D34" s="9" t="s">
        <v>107</v>
      </c>
      <c r="E34" s="10" t="s">
        <v>53</v>
      </c>
      <c r="F34" s="11">
        <v>379657</v>
      </c>
      <c r="G34" s="11">
        <f>F34*0.8</f>
        <v>303725.60000000003</v>
      </c>
      <c r="H34" s="11">
        <f>2.75*G34</f>
        <v>835245.40000000014</v>
      </c>
      <c r="I34" s="9" t="s">
        <v>27</v>
      </c>
      <c r="J34" s="9" t="s">
        <v>28</v>
      </c>
      <c r="K34" s="9" t="s">
        <v>19</v>
      </c>
      <c r="L34" s="12">
        <v>0.1409</v>
      </c>
      <c r="M34" s="13"/>
    </row>
    <row r="35" spans="1:13" x14ac:dyDescent="0.25">
      <c r="I35" s="4" t="s">
        <v>56</v>
      </c>
      <c r="J35" s="4" t="s">
        <v>57</v>
      </c>
      <c r="K35" s="4" t="s">
        <v>19</v>
      </c>
      <c r="L35" s="7">
        <v>0.85909999999999997</v>
      </c>
    </row>
    <row r="36" spans="1:13" x14ac:dyDescent="0.25">
      <c r="A36" s="8">
        <v>15</v>
      </c>
      <c r="B36" s="9" t="s">
        <v>108</v>
      </c>
      <c r="C36" s="9" t="s">
        <v>109</v>
      </c>
      <c r="D36" s="9" t="s">
        <v>110</v>
      </c>
      <c r="E36" s="10" t="s">
        <v>111</v>
      </c>
      <c r="F36" s="11">
        <v>521631</v>
      </c>
      <c r="G36" s="11">
        <f>F36*0.8</f>
        <v>417304.80000000005</v>
      </c>
      <c r="H36" s="11">
        <f>2.75*G36</f>
        <v>1147588.2000000002</v>
      </c>
      <c r="I36" s="9" t="s">
        <v>44</v>
      </c>
      <c r="J36" s="9" t="s">
        <v>45</v>
      </c>
      <c r="K36" s="9" t="s">
        <v>19</v>
      </c>
      <c r="L36" s="12">
        <v>6.7299999999999999E-2</v>
      </c>
      <c r="M36" s="13"/>
    </row>
    <row r="37" spans="1:13" x14ac:dyDescent="0.25">
      <c r="I37" s="4" t="s">
        <v>46</v>
      </c>
      <c r="J37" s="4" t="s">
        <v>47</v>
      </c>
      <c r="K37" s="4" t="s">
        <v>19</v>
      </c>
      <c r="L37" s="7">
        <v>0.36470000000000002</v>
      </c>
    </row>
    <row r="38" spans="1:13" x14ac:dyDescent="0.25">
      <c r="I38" s="4" t="s">
        <v>48</v>
      </c>
      <c r="J38" s="4" t="s">
        <v>49</v>
      </c>
      <c r="K38" s="4" t="s">
        <v>19</v>
      </c>
      <c r="L38" s="7">
        <v>0.56789999999999996</v>
      </c>
    </row>
    <row r="39" spans="1:13" x14ac:dyDescent="0.25">
      <c r="A39" s="8">
        <v>16</v>
      </c>
      <c r="B39" s="9" t="s">
        <v>112</v>
      </c>
      <c r="C39" s="9" t="s">
        <v>113</v>
      </c>
      <c r="D39" s="9" t="s">
        <v>114</v>
      </c>
      <c r="E39" s="10" t="s">
        <v>115</v>
      </c>
      <c r="F39" s="11">
        <v>549754</v>
      </c>
      <c r="G39" s="11">
        <f>F39*0.8</f>
        <v>439803.2</v>
      </c>
      <c r="H39" s="11">
        <f>2.75*G39</f>
        <v>1209458.8</v>
      </c>
      <c r="I39" s="9" t="s">
        <v>116</v>
      </c>
      <c r="J39" s="9" t="s">
        <v>117</v>
      </c>
      <c r="K39" s="9" t="s">
        <v>19</v>
      </c>
      <c r="L39" s="12">
        <v>0.29659999999999997</v>
      </c>
      <c r="M39" s="13"/>
    </row>
    <row r="40" spans="1:13" x14ac:dyDescent="0.25">
      <c r="I40" s="4" t="s">
        <v>71</v>
      </c>
      <c r="J40" s="4" t="s">
        <v>72</v>
      </c>
      <c r="K40" s="4" t="s">
        <v>19</v>
      </c>
      <c r="L40" s="7">
        <v>0.23369999999999999</v>
      </c>
    </row>
    <row r="41" spans="1:13" x14ac:dyDescent="0.25">
      <c r="I41" s="4" t="s">
        <v>118</v>
      </c>
      <c r="J41" s="4" t="s">
        <v>119</v>
      </c>
      <c r="K41" s="4" t="s">
        <v>19</v>
      </c>
      <c r="L41" s="7">
        <v>0.46970000000000001</v>
      </c>
    </row>
    <row r="42" spans="1:13" x14ac:dyDescent="0.25">
      <c r="A42" s="8">
        <v>17</v>
      </c>
      <c r="B42" s="9" t="s">
        <v>120</v>
      </c>
      <c r="C42" s="9" t="s">
        <v>121</v>
      </c>
      <c r="D42" s="9" t="s">
        <v>122</v>
      </c>
      <c r="E42" s="10" t="s">
        <v>123</v>
      </c>
      <c r="F42" s="11">
        <v>680389</v>
      </c>
      <c r="G42" s="11">
        <f>F42*0.8</f>
        <v>544311.20000000007</v>
      </c>
      <c r="H42" s="11">
        <f>2.75*G42</f>
        <v>1496855.8000000003</v>
      </c>
      <c r="I42" s="9" t="s">
        <v>116</v>
      </c>
      <c r="J42" s="9" t="s">
        <v>117</v>
      </c>
      <c r="K42" s="9" t="s">
        <v>19</v>
      </c>
      <c r="L42" s="12">
        <v>0.2397</v>
      </c>
      <c r="M42" s="13"/>
    </row>
    <row r="43" spans="1:13" x14ac:dyDescent="0.25">
      <c r="I43" s="4" t="s">
        <v>124</v>
      </c>
      <c r="J43" s="4" t="s">
        <v>125</v>
      </c>
      <c r="K43" s="4" t="s">
        <v>19</v>
      </c>
      <c r="L43" s="7">
        <v>0.1012</v>
      </c>
    </row>
    <row r="44" spans="1:13" x14ac:dyDescent="0.25">
      <c r="I44" s="4" t="s">
        <v>126</v>
      </c>
      <c r="J44" s="4" t="s">
        <v>127</v>
      </c>
      <c r="K44" s="4" t="s">
        <v>19</v>
      </c>
      <c r="L44" s="7">
        <v>0.27960000000000002</v>
      </c>
    </row>
    <row r="45" spans="1:13" x14ac:dyDescent="0.25">
      <c r="I45" s="4" t="s">
        <v>118</v>
      </c>
      <c r="J45" s="4" t="s">
        <v>119</v>
      </c>
      <c r="K45" s="4" t="s">
        <v>19</v>
      </c>
      <c r="L45" s="7">
        <v>0.3795</v>
      </c>
    </row>
    <row r="46" spans="1:13" x14ac:dyDescent="0.25">
      <c r="A46" s="8">
        <v>18</v>
      </c>
      <c r="B46" s="9" t="s">
        <v>120</v>
      </c>
      <c r="C46" s="9" t="s">
        <v>121</v>
      </c>
      <c r="D46" s="9" t="s">
        <v>128</v>
      </c>
      <c r="E46" s="10" t="s">
        <v>129</v>
      </c>
      <c r="F46" s="11">
        <v>680389</v>
      </c>
      <c r="G46" s="11">
        <f>F46*0.8</f>
        <v>544311.20000000007</v>
      </c>
      <c r="H46" s="11">
        <f>2.75*G46</f>
        <v>1496855.8000000003</v>
      </c>
      <c r="I46" s="9" t="s">
        <v>116</v>
      </c>
      <c r="J46" s="9" t="s">
        <v>117</v>
      </c>
      <c r="K46" s="9" t="s">
        <v>19</v>
      </c>
      <c r="L46" s="12">
        <v>0.2397</v>
      </c>
      <c r="M46" s="13"/>
    </row>
    <row r="47" spans="1:13" x14ac:dyDescent="0.25">
      <c r="I47" s="4" t="s">
        <v>124</v>
      </c>
      <c r="J47" s="4" t="s">
        <v>125</v>
      </c>
      <c r="K47" s="4" t="s">
        <v>19</v>
      </c>
      <c r="L47" s="7">
        <v>0.1012</v>
      </c>
    </row>
    <row r="48" spans="1:13" x14ac:dyDescent="0.25">
      <c r="I48" s="4" t="s">
        <v>126</v>
      </c>
      <c r="J48" s="4" t="s">
        <v>127</v>
      </c>
      <c r="K48" s="4" t="s">
        <v>19</v>
      </c>
      <c r="L48" s="7">
        <v>0.27960000000000002</v>
      </c>
    </row>
    <row r="49" spans="1:13" x14ac:dyDescent="0.25">
      <c r="I49" s="4" t="s">
        <v>118</v>
      </c>
      <c r="J49" s="4" t="s">
        <v>119</v>
      </c>
      <c r="K49" s="4" t="s">
        <v>19</v>
      </c>
      <c r="L49" s="7">
        <v>0.3795</v>
      </c>
    </row>
    <row r="50" spans="1:13" x14ac:dyDescent="0.25">
      <c r="A50" s="8">
        <v>19</v>
      </c>
      <c r="B50" s="9" t="s">
        <v>130</v>
      </c>
      <c r="C50" s="9" t="s">
        <v>131</v>
      </c>
      <c r="D50" s="9" t="s">
        <v>132</v>
      </c>
      <c r="E50" s="10" t="s">
        <v>133</v>
      </c>
      <c r="F50" s="11">
        <v>549754</v>
      </c>
      <c r="G50" s="11">
        <f>F50*0.8</f>
        <v>439803.2</v>
      </c>
      <c r="H50" s="11">
        <f>2.75*G50</f>
        <v>1209458.8</v>
      </c>
      <c r="I50" s="9" t="s">
        <v>71</v>
      </c>
      <c r="J50" s="9" t="s">
        <v>72</v>
      </c>
      <c r="K50" s="9" t="s">
        <v>19</v>
      </c>
      <c r="L50" s="12">
        <v>0.23619999999999999</v>
      </c>
      <c r="M50" s="13"/>
    </row>
    <row r="51" spans="1:13" x14ac:dyDescent="0.25">
      <c r="I51" s="4" t="s">
        <v>134</v>
      </c>
      <c r="J51" s="4" t="s">
        <v>135</v>
      </c>
      <c r="K51" s="4" t="s">
        <v>19</v>
      </c>
      <c r="L51" s="7">
        <v>0.76380000000000003</v>
      </c>
    </row>
    <row r="52" spans="1:13" x14ac:dyDescent="0.25">
      <c r="A52" s="8">
        <v>20</v>
      </c>
      <c r="B52" s="9" t="s">
        <v>130</v>
      </c>
      <c r="C52" s="9" t="s">
        <v>131</v>
      </c>
      <c r="D52" s="9" t="s">
        <v>136</v>
      </c>
      <c r="E52" s="10" t="s">
        <v>137</v>
      </c>
      <c r="F52" s="11">
        <v>480808</v>
      </c>
      <c r="G52" s="11">
        <f>F52*0.8</f>
        <v>384646.40000000002</v>
      </c>
      <c r="H52" s="11">
        <f>2.75*G52</f>
        <v>1057777.6000000001</v>
      </c>
      <c r="I52" s="9" t="s">
        <v>71</v>
      </c>
      <c r="J52" s="9" t="s">
        <v>72</v>
      </c>
      <c r="K52" s="9" t="s">
        <v>19</v>
      </c>
      <c r="L52" s="12">
        <v>0.12659999999999999</v>
      </c>
      <c r="M52" s="13"/>
    </row>
    <row r="53" spans="1:13" x14ac:dyDescent="0.25">
      <c r="I53" s="4" t="s">
        <v>134</v>
      </c>
      <c r="J53" s="4" t="s">
        <v>135</v>
      </c>
      <c r="K53" s="4" t="s">
        <v>19</v>
      </c>
      <c r="L53" s="7">
        <v>0.87339999999999995</v>
      </c>
    </row>
    <row r="54" spans="1:13" x14ac:dyDescent="0.25">
      <c r="A54" s="8">
        <v>21</v>
      </c>
      <c r="B54" s="9" t="s">
        <v>138</v>
      </c>
      <c r="C54" s="9" t="s">
        <v>139</v>
      </c>
      <c r="D54" s="9" t="s">
        <v>140</v>
      </c>
      <c r="E54" s="10" t="s">
        <v>16</v>
      </c>
      <c r="F54" s="11">
        <v>519817</v>
      </c>
      <c r="G54" s="11">
        <f>F54*0.8</f>
        <v>415853.60000000003</v>
      </c>
      <c r="H54" s="11">
        <f>2.75*G54</f>
        <v>1143597.4000000001</v>
      </c>
      <c r="I54" s="9" t="s">
        <v>134</v>
      </c>
      <c r="J54" s="9" t="s">
        <v>135</v>
      </c>
      <c r="K54" s="9" t="s">
        <v>34</v>
      </c>
      <c r="L54" s="12">
        <v>0.80779999999999996</v>
      </c>
      <c r="M54" s="13"/>
    </row>
    <row r="55" spans="1:13" x14ac:dyDescent="0.25">
      <c r="I55" s="4" t="s">
        <v>141</v>
      </c>
      <c r="J55" s="4" t="s">
        <v>142</v>
      </c>
      <c r="K55" s="4" t="s">
        <v>93</v>
      </c>
      <c r="L55" s="7">
        <v>0.19220000000000001</v>
      </c>
      <c r="M55" s="4" t="s">
        <v>94</v>
      </c>
    </row>
    <row r="56" spans="1:13" x14ac:dyDescent="0.25">
      <c r="A56" s="8">
        <v>22</v>
      </c>
      <c r="B56" s="9" t="s">
        <v>143</v>
      </c>
      <c r="C56" s="9" t="s">
        <v>144</v>
      </c>
      <c r="D56" s="9" t="s">
        <v>145</v>
      </c>
      <c r="E56" s="10" t="s">
        <v>146</v>
      </c>
      <c r="F56" s="11">
        <v>304996</v>
      </c>
      <c r="G56" s="11">
        <f>F56*0.8</f>
        <v>243996.80000000002</v>
      </c>
      <c r="H56" s="11">
        <f>2.75*G56</f>
        <v>670991.20000000007</v>
      </c>
      <c r="I56" s="9" t="s">
        <v>116</v>
      </c>
      <c r="J56" s="9" t="s">
        <v>117</v>
      </c>
      <c r="K56" s="9" t="s">
        <v>19</v>
      </c>
      <c r="L56" s="12">
        <v>0.15340000000000001</v>
      </c>
      <c r="M56" s="13"/>
    </row>
    <row r="57" spans="1:13" x14ac:dyDescent="0.25">
      <c r="I57" s="4" t="s">
        <v>118</v>
      </c>
      <c r="J57" s="4" t="s">
        <v>119</v>
      </c>
      <c r="K57" s="4" t="s">
        <v>19</v>
      </c>
      <c r="L57" s="7">
        <v>0.84660000000000002</v>
      </c>
    </row>
    <row r="58" spans="1:13" x14ac:dyDescent="0.25">
      <c r="A58" s="8">
        <v>23</v>
      </c>
      <c r="B58" s="9" t="s">
        <v>143</v>
      </c>
      <c r="C58" s="9" t="s">
        <v>144</v>
      </c>
      <c r="D58" s="9" t="s">
        <v>147</v>
      </c>
      <c r="E58" s="10" t="s">
        <v>148</v>
      </c>
      <c r="F58" s="11">
        <v>734820</v>
      </c>
      <c r="G58" s="11">
        <f>F58*0.8</f>
        <v>587856</v>
      </c>
      <c r="H58" s="11">
        <f>2.75*G58</f>
        <v>1616604</v>
      </c>
      <c r="I58" s="9" t="s">
        <v>25</v>
      </c>
      <c r="J58" s="9" t="s">
        <v>26</v>
      </c>
      <c r="K58" s="9" t="s">
        <v>19</v>
      </c>
      <c r="L58" s="12">
        <v>0.1678</v>
      </c>
      <c r="M58" s="13"/>
    </row>
    <row r="59" spans="1:13" x14ac:dyDescent="0.25">
      <c r="I59" s="4" t="s">
        <v>116</v>
      </c>
      <c r="J59" s="4" t="s">
        <v>117</v>
      </c>
      <c r="K59" s="4" t="s">
        <v>19</v>
      </c>
      <c r="L59" s="7">
        <v>0.22189999999999999</v>
      </c>
    </row>
    <row r="60" spans="1:13" x14ac:dyDescent="0.25">
      <c r="I60" s="4" t="s">
        <v>126</v>
      </c>
      <c r="J60" s="4" t="s">
        <v>127</v>
      </c>
      <c r="K60" s="4" t="s">
        <v>19</v>
      </c>
      <c r="L60" s="7">
        <v>0.25890000000000002</v>
      </c>
    </row>
    <row r="61" spans="1:13" x14ac:dyDescent="0.25">
      <c r="I61" s="4" t="s">
        <v>118</v>
      </c>
      <c r="J61" s="4" t="s">
        <v>119</v>
      </c>
      <c r="K61" s="4" t="s">
        <v>19</v>
      </c>
      <c r="L61" s="7">
        <v>0.35139999999999999</v>
      </c>
    </row>
    <row r="62" spans="1:13" x14ac:dyDescent="0.25">
      <c r="A62" s="8">
        <v>24</v>
      </c>
      <c r="B62" s="9" t="s">
        <v>149</v>
      </c>
      <c r="C62" s="9" t="s">
        <v>150</v>
      </c>
      <c r="D62" s="9" t="s">
        <v>151</v>
      </c>
      <c r="E62" s="10" t="s">
        <v>16</v>
      </c>
      <c r="F62" s="11">
        <v>29937</v>
      </c>
      <c r="G62" s="11">
        <f>F62*0.8</f>
        <v>23949.600000000002</v>
      </c>
      <c r="H62" s="11">
        <f>2.75*G62</f>
        <v>65861.400000000009</v>
      </c>
      <c r="I62" s="9" t="s">
        <v>152</v>
      </c>
      <c r="J62" s="9" t="s">
        <v>153</v>
      </c>
      <c r="K62" s="9" t="s">
        <v>93</v>
      </c>
      <c r="L62" s="12">
        <v>1</v>
      </c>
      <c r="M62" s="9" t="s">
        <v>94</v>
      </c>
    </row>
    <row r="63" spans="1:13" x14ac:dyDescent="0.25">
      <c r="A63" s="8">
        <v>25</v>
      </c>
      <c r="B63" s="9" t="s">
        <v>154</v>
      </c>
      <c r="C63" s="9" t="s">
        <v>155</v>
      </c>
      <c r="D63" s="9" t="s">
        <v>156</v>
      </c>
      <c r="E63" s="10" t="s">
        <v>16</v>
      </c>
      <c r="F63" s="11">
        <v>200488</v>
      </c>
      <c r="G63" s="11">
        <f>F63*0.8</f>
        <v>160390.40000000002</v>
      </c>
      <c r="H63" s="11">
        <f>2.75*G63</f>
        <v>441073.60000000009</v>
      </c>
      <c r="I63" s="9" t="s">
        <v>134</v>
      </c>
      <c r="J63" s="9" t="s">
        <v>135</v>
      </c>
      <c r="K63" s="9" t="s">
        <v>34</v>
      </c>
      <c r="L63" s="12">
        <v>0.2205</v>
      </c>
      <c r="M63" s="13"/>
    </row>
    <row r="64" spans="1:13" x14ac:dyDescent="0.25">
      <c r="I64" s="4" t="s">
        <v>84</v>
      </c>
      <c r="J64" s="4" t="s">
        <v>85</v>
      </c>
      <c r="K64" s="4" t="s">
        <v>19</v>
      </c>
      <c r="L64" s="7">
        <v>0.77949999999999997</v>
      </c>
    </row>
    <row r="65" spans="1:13" x14ac:dyDescent="0.25">
      <c r="A65" s="8">
        <v>26</v>
      </c>
      <c r="B65" s="9" t="s">
        <v>157</v>
      </c>
      <c r="C65" s="9" t="s">
        <v>158</v>
      </c>
      <c r="D65" s="9" t="s">
        <v>159</v>
      </c>
      <c r="E65" s="10" t="s">
        <v>160</v>
      </c>
      <c r="F65" s="11">
        <v>344730</v>
      </c>
      <c r="G65" s="11">
        <f>F65*0.8</f>
        <v>275784</v>
      </c>
      <c r="H65" s="11">
        <f>2.75*G65</f>
        <v>758406</v>
      </c>
      <c r="I65" s="9" t="s">
        <v>161</v>
      </c>
      <c r="J65" s="9" t="s">
        <v>162</v>
      </c>
      <c r="K65" s="9" t="s">
        <v>19</v>
      </c>
      <c r="L65" s="12">
        <v>0.63070000000000004</v>
      </c>
      <c r="M65" s="13"/>
    </row>
    <row r="66" spans="1:13" x14ac:dyDescent="0.25">
      <c r="I66" s="4" t="s">
        <v>163</v>
      </c>
      <c r="J66" s="4" t="s">
        <v>164</v>
      </c>
      <c r="K66" s="4" t="s">
        <v>93</v>
      </c>
      <c r="L66" s="7">
        <v>1.9699999999999999E-2</v>
      </c>
      <c r="M66" s="4" t="s">
        <v>94</v>
      </c>
    </row>
    <row r="67" spans="1:13" x14ac:dyDescent="0.25">
      <c r="I67" s="4" t="s">
        <v>165</v>
      </c>
      <c r="J67" s="4" t="s">
        <v>166</v>
      </c>
      <c r="K67" s="4" t="s">
        <v>93</v>
      </c>
      <c r="L67" s="7">
        <v>0.1104</v>
      </c>
      <c r="M67" s="4" t="s">
        <v>94</v>
      </c>
    </row>
    <row r="68" spans="1:13" x14ac:dyDescent="0.25">
      <c r="I68" s="4" t="s">
        <v>167</v>
      </c>
      <c r="J68" s="4" t="s">
        <v>168</v>
      </c>
      <c r="K68" s="4" t="s">
        <v>93</v>
      </c>
      <c r="L68" s="7">
        <v>2.8500000000000001E-2</v>
      </c>
      <c r="M68" s="4" t="s">
        <v>94</v>
      </c>
    </row>
    <row r="69" spans="1:13" x14ac:dyDescent="0.25">
      <c r="A69" s="8">
        <v>27</v>
      </c>
      <c r="B69" s="9" t="s">
        <v>157</v>
      </c>
      <c r="C69" s="9" t="s">
        <v>158</v>
      </c>
      <c r="D69" s="9" t="s">
        <v>169</v>
      </c>
      <c r="E69" s="10" t="s">
        <v>170</v>
      </c>
      <c r="F69" s="11">
        <v>272155</v>
      </c>
      <c r="G69" s="11">
        <f>F69*0.8</f>
        <v>217724</v>
      </c>
      <c r="H69" s="11">
        <f>2.75*G69</f>
        <v>598741</v>
      </c>
      <c r="I69" s="9" t="s">
        <v>161</v>
      </c>
      <c r="J69" s="9" t="s">
        <v>162</v>
      </c>
      <c r="K69" s="9" t="s">
        <v>19</v>
      </c>
      <c r="L69" s="12">
        <v>0.79890000000000005</v>
      </c>
      <c r="M69" s="13"/>
    </row>
    <row r="70" spans="1:13" x14ac:dyDescent="0.25">
      <c r="I70" s="4" t="s">
        <v>163</v>
      </c>
      <c r="J70" s="4" t="s">
        <v>164</v>
      </c>
      <c r="K70" s="4" t="s">
        <v>93</v>
      </c>
      <c r="L70" s="7">
        <v>2.5000000000000001E-2</v>
      </c>
      <c r="M70" s="4" t="s">
        <v>94</v>
      </c>
    </row>
    <row r="71" spans="1:13" x14ac:dyDescent="0.25">
      <c r="I71" s="4" t="s">
        <v>165</v>
      </c>
      <c r="J71" s="4" t="s">
        <v>166</v>
      </c>
      <c r="K71" s="4" t="s">
        <v>93</v>
      </c>
      <c r="L71" s="7">
        <v>0.13980000000000001</v>
      </c>
      <c r="M71" s="4" t="s">
        <v>94</v>
      </c>
    </row>
    <row r="72" spans="1:13" x14ac:dyDescent="0.25">
      <c r="I72" s="4" t="s">
        <v>167</v>
      </c>
      <c r="J72" s="4" t="s">
        <v>168</v>
      </c>
      <c r="K72" s="4" t="s">
        <v>93</v>
      </c>
      <c r="L72" s="7">
        <v>3.61E-2</v>
      </c>
      <c r="M72" s="4" t="s">
        <v>94</v>
      </c>
    </row>
    <row r="73" spans="1:13" x14ac:dyDescent="0.25">
      <c r="A73" s="8">
        <v>28</v>
      </c>
      <c r="B73" s="9" t="s">
        <v>171</v>
      </c>
      <c r="C73" s="9" t="s">
        <v>172</v>
      </c>
      <c r="D73" s="9" t="s">
        <v>173</v>
      </c>
      <c r="E73" s="10" t="s">
        <v>16</v>
      </c>
      <c r="F73" s="11">
        <v>199581</v>
      </c>
      <c r="G73" s="11">
        <f>F73*0.8</f>
        <v>159664.80000000002</v>
      </c>
      <c r="H73" s="11">
        <f>2.75*G73</f>
        <v>439078.20000000007</v>
      </c>
      <c r="I73" s="9" t="s">
        <v>174</v>
      </c>
      <c r="J73" s="9" t="s">
        <v>175</v>
      </c>
      <c r="K73" s="9" t="s">
        <v>93</v>
      </c>
      <c r="L73" s="12">
        <v>0.66049999999999998</v>
      </c>
      <c r="M73" s="9" t="s">
        <v>94</v>
      </c>
    </row>
    <row r="74" spans="1:13" x14ac:dyDescent="0.25">
      <c r="I74" s="4" t="s">
        <v>163</v>
      </c>
      <c r="J74" s="4" t="s">
        <v>164</v>
      </c>
      <c r="K74" s="4" t="s">
        <v>93</v>
      </c>
      <c r="L74" s="7">
        <v>3.4000000000000002E-2</v>
      </c>
      <c r="M74" s="4" t="s">
        <v>94</v>
      </c>
    </row>
    <row r="75" spans="1:13" x14ac:dyDescent="0.25">
      <c r="I75" s="4" t="s">
        <v>161</v>
      </c>
      <c r="J75" s="4" t="s">
        <v>162</v>
      </c>
      <c r="K75" s="4" t="s">
        <v>93</v>
      </c>
      <c r="L75" s="7">
        <v>0.30549999999999999</v>
      </c>
      <c r="M75" s="4" t="s">
        <v>94</v>
      </c>
    </row>
  </sheetData>
  <autoFilter ref="A1:M75" xr:uid="{00000000-0009-0000-0000-000000000000}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Alessandro Trigilio</cp:lastModifiedBy>
  <dcterms:created xsi:type="dcterms:W3CDTF">2026-10-08T12:56:56Z</dcterms:created>
  <dcterms:modified xsi:type="dcterms:W3CDTF">2026-10-08T13:01:16Z</dcterms:modified>
</cp:coreProperties>
</file>