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ss\Desktop\Atmos\"/>
    </mc:Choice>
  </mc:AlternateContent>
  <xr:revisionPtr revIDLastSave="0" documentId="11_9FE6F74ECA90F66CEBD3A96941C9304B0CB3A7A2" xr6:coauthVersionLast="47" xr6:coauthVersionMax="47" xr10:uidLastSave="{00000000-0000-0000-0000-000000000000}"/>
  <bookViews>
    <workbookView xWindow="-120" yWindow="-120" windowWidth="49440" windowHeight="21840" xr2:uid="{00000000-000D-0000-FFFF-FFFF00000000}"/>
  </bookViews>
  <sheets>
    <sheet name="report" sheetId="1" r:id="rId1"/>
  </sheets>
  <definedNames>
    <definedName name="_xlnm._FilterDatabase" localSheetId="0" hidden="1">report!$A$1:$L$182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2" i="1" l="1"/>
  <c r="L182" i="1" s="1"/>
  <c r="G181" i="1"/>
  <c r="L181" i="1" s="1"/>
  <c r="G179" i="1"/>
  <c r="L180" i="1" s="1"/>
  <c r="G178" i="1"/>
  <c r="G177" i="1"/>
  <c r="L177" i="1" s="1"/>
  <c r="L176" i="1"/>
  <c r="G176" i="1"/>
  <c r="L175" i="1"/>
  <c r="G175" i="1"/>
  <c r="G174" i="1"/>
  <c r="L174" i="1" s="1"/>
  <c r="G173" i="1"/>
  <c r="G172" i="1"/>
  <c r="G171" i="1"/>
  <c r="L170" i="1"/>
  <c r="G170" i="1"/>
  <c r="L171" i="1" s="1"/>
  <c r="G169" i="1"/>
  <c r="L169" i="1" s="1"/>
  <c r="G168" i="1"/>
  <c r="G167" i="1"/>
  <c r="L167" i="1" s="1"/>
  <c r="G166" i="1"/>
  <c r="G165" i="1"/>
  <c r="L166" i="1" s="1"/>
  <c r="G164" i="1"/>
  <c r="L163" i="1" s="1"/>
  <c r="G163" i="1"/>
  <c r="G162" i="1"/>
  <c r="L161" i="1"/>
  <c r="G161" i="1"/>
  <c r="L162" i="1" s="1"/>
  <c r="G160" i="1"/>
  <c r="L159" i="1"/>
  <c r="G159" i="1"/>
  <c r="L158" i="1"/>
  <c r="L157" i="1"/>
  <c r="G157" i="1"/>
  <c r="G156" i="1"/>
  <c r="G155" i="1"/>
  <c r="L155" i="1" s="1"/>
  <c r="L154" i="1"/>
  <c r="G154" i="1"/>
  <c r="G153" i="1"/>
  <c r="L153" i="1" s="1"/>
  <c r="G152" i="1"/>
  <c r="L152" i="1" s="1"/>
  <c r="G151" i="1"/>
  <c r="G150" i="1"/>
  <c r="L150" i="1" s="1"/>
  <c r="L147" i="1"/>
  <c r="G146" i="1"/>
  <c r="L149" i="1" s="1"/>
  <c r="G145" i="1"/>
  <c r="G144" i="1"/>
  <c r="L144" i="1" s="1"/>
  <c r="L143" i="1"/>
  <c r="G143" i="1"/>
  <c r="L142" i="1"/>
  <c r="G142" i="1"/>
  <c r="G140" i="1"/>
  <c r="L141" i="1" s="1"/>
  <c r="L139" i="1"/>
  <c r="G139" i="1"/>
  <c r="L140" i="1" s="1"/>
  <c r="G138" i="1"/>
  <c r="L138" i="1" s="1"/>
  <c r="G134" i="1"/>
  <c r="L137" i="1" s="1"/>
  <c r="L133" i="1"/>
  <c r="G133" i="1"/>
  <c r="G131" i="1"/>
  <c r="L132" i="1" s="1"/>
  <c r="G130" i="1"/>
  <c r="G129" i="1"/>
  <c r="L129" i="1" s="1"/>
  <c r="G128" i="1"/>
  <c r="L128" i="1" s="1"/>
  <c r="L127" i="1"/>
  <c r="L125" i="1"/>
  <c r="G125" i="1"/>
  <c r="L126" i="1" s="1"/>
  <c r="L124" i="1"/>
  <c r="L123" i="1"/>
  <c r="G121" i="1"/>
  <c r="L122" i="1" s="1"/>
  <c r="G120" i="1"/>
  <c r="L119" i="1"/>
  <c r="G119" i="1"/>
  <c r="G118" i="1"/>
  <c r="G117" i="1"/>
  <c r="G116" i="1"/>
  <c r="L116" i="1" s="1"/>
  <c r="L115" i="1"/>
  <c r="G115" i="1"/>
  <c r="L114" i="1"/>
  <c r="G114" i="1"/>
  <c r="L113" i="1"/>
  <c r="L112" i="1"/>
  <c r="L111" i="1"/>
  <c r="G111" i="1"/>
  <c r="G110" i="1"/>
  <c r="G109" i="1"/>
  <c r="L108" i="1"/>
  <c r="G108" i="1"/>
  <c r="G107" i="1"/>
  <c r="G106" i="1"/>
  <c r="L107" i="1" s="1"/>
  <c r="G105" i="1"/>
  <c r="G104" i="1"/>
  <c r="L104" i="1" s="1"/>
  <c r="G103" i="1"/>
  <c r="G102" i="1"/>
  <c r="L102" i="1" s="1"/>
  <c r="G101" i="1"/>
  <c r="G100" i="1"/>
  <c r="L100" i="1" s="1"/>
  <c r="G99" i="1"/>
  <c r="L99" i="1" s="1"/>
  <c r="G98" i="1"/>
  <c r="L97" i="1"/>
  <c r="G97" i="1"/>
  <c r="L98" i="1" s="1"/>
  <c r="G96" i="1"/>
  <c r="L96" i="1" s="1"/>
  <c r="G95" i="1"/>
  <c r="G94" i="1"/>
  <c r="L95" i="1" s="1"/>
  <c r="G93" i="1"/>
  <c r="L92" i="1" s="1"/>
  <c r="G92" i="1"/>
  <c r="G91" i="1"/>
  <c r="G88" i="1"/>
  <c r="L90" i="1" s="1"/>
  <c r="G86" i="1"/>
  <c r="L87" i="1" s="1"/>
  <c r="G84" i="1"/>
  <c r="G83" i="1"/>
  <c r="L85" i="1" s="1"/>
  <c r="L82" i="1"/>
  <c r="G82" i="1"/>
  <c r="L81" i="1"/>
  <c r="G81" i="1"/>
  <c r="G80" i="1"/>
  <c r="G79" i="1"/>
  <c r="L80" i="1" s="1"/>
  <c r="G77" i="1"/>
  <c r="G76" i="1"/>
  <c r="L78" i="1" s="1"/>
  <c r="G74" i="1"/>
  <c r="L73" i="1" s="1"/>
  <c r="G73" i="1"/>
  <c r="G72" i="1"/>
  <c r="G71" i="1"/>
  <c r="L70" i="1"/>
  <c r="G70" i="1"/>
  <c r="G69" i="1"/>
  <c r="L69" i="1" s="1"/>
  <c r="G67" i="1"/>
  <c r="L68" i="1" s="1"/>
  <c r="G65" i="1"/>
  <c r="G64" i="1"/>
  <c r="L66" i="1" s="1"/>
  <c r="G63" i="1"/>
  <c r="G62" i="1"/>
  <c r="L62" i="1" s="1"/>
  <c r="G61" i="1"/>
  <c r="G60" i="1"/>
  <c r="G59" i="1"/>
  <c r="L60" i="1" s="1"/>
  <c r="G58" i="1"/>
  <c r="L57" i="1"/>
  <c r="G57" i="1"/>
  <c r="L56" i="1"/>
  <c r="G56" i="1"/>
  <c r="L58" i="1" s="1"/>
  <c r="G55" i="1"/>
  <c r="L54" i="1"/>
  <c r="G54" i="1"/>
  <c r="G53" i="1"/>
  <c r="L53" i="1" s="1"/>
  <c r="G49" i="1"/>
  <c r="G48" i="1"/>
  <c r="L51" i="1" s="1"/>
  <c r="L47" i="1"/>
  <c r="G47" i="1"/>
  <c r="L46" i="1"/>
  <c r="G46" i="1"/>
  <c r="L45" i="1"/>
  <c r="L44" i="1"/>
  <c r="G44" i="1"/>
  <c r="L42" i="1"/>
  <c r="G42" i="1"/>
  <c r="L43" i="1" s="1"/>
  <c r="G39" i="1"/>
  <c r="L41" i="1" s="1"/>
  <c r="G37" i="1"/>
  <c r="L38" i="1" s="1"/>
  <c r="G36" i="1"/>
  <c r="L36" i="1" s="1"/>
  <c r="G35" i="1"/>
  <c r="L35" i="1" s="1"/>
  <c r="L34" i="1"/>
  <c r="G34" i="1"/>
  <c r="G33" i="1"/>
  <c r="L32" i="1"/>
  <c r="G32" i="1"/>
  <c r="L31" i="1"/>
  <c r="G31" i="1"/>
  <c r="G30" i="1"/>
  <c r="G29" i="1"/>
  <c r="L30" i="1" s="1"/>
  <c r="L28" i="1"/>
  <c r="G28" i="1"/>
  <c r="G27" i="1"/>
  <c r="G26" i="1"/>
  <c r="L27" i="1" s="1"/>
  <c r="G25" i="1"/>
  <c r="G24" i="1"/>
  <c r="L24" i="1" s="1"/>
  <c r="G23" i="1"/>
  <c r="L23" i="1" s="1"/>
  <c r="G22" i="1"/>
  <c r="L22" i="1" s="1"/>
  <c r="L21" i="1"/>
  <c r="G20" i="1"/>
  <c r="L20" i="1" s="1"/>
  <c r="L19" i="1"/>
  <c r="G19" i="1"/>
  <c r="G16" i="1"/>
  <c r="L18" i="1" s="1"/>
  <c r="G14" i="1"/>
  <c r="L15" i="1" s="1"/>
  <c r="G13" i="1"/>
  <c r="L13" i="1" s="1"/>
  <c r="G11" i="1"/>
  <c r="L12" i="1" s="1"/>
  <c r="G10" i="1"/>
  <c r="L10" i="1" s="1"/>
  <c r="L9" i="1"/>
  <c r="G9" i="1"/>
  <c r="G8" i="1"/>
  <c r="G7" i="1"/>
  <c r="L6" i="1" s="1"/>
  <c r="G6" i="1"/>
  <c r="G4" i="1"/>
  <c r="L5" i="1" s="1"/>
  <c r="G3" i="1"/>
  <c r="L3" i="1" s="1"/>
  <c r="L2" i="1"/>
  <c r="G2" i="1"/>
  <c r="L16" i="1" l="1"/>
  <c r="L26" i="1"/>
  <c r="L64" i="1"/>
  <c r="L74" i="1"/>
  <c r="L83" i="1"/>
  <c r="L134" i="1"/>
  <c r="L7" i="1"/>
  <c r="L17" i="1"/>
  <c r="L75" i="1"/>
  <c r="L94" i="1"/>
  <c r="L135" i="1"/>
  <c r="L165" i="1"/>
  <c r="L8" i="1"/>
  <c r="L65" i="1"/>
  <c r="L84" i="1"/>
  <c r="L136" i="1"/>
  <c r="L76" i="1"/>
  <c r="L146" i="1"/>
  <c r="L37" i="1"/>
  <c r="L67" i="1"/>
  <c r="L77" i="1"/>
  <c r="L86" i="1"/>
  <c r="L148" i="1"/>
  <c r="L29" i="1"/>
  <c r="L48" i="1"/>
  <c r="L106" i="1"/>
  <c r="L11" i="1"/>
  <c r="L39" i="1"/>
  <c r="L49" i="1"/>
  <c r="L59" i="1"/>
  <c r="L79" i="1"/>
  <c r="L88" i="1"/>
  <c r="L40" i="1"/>
  <c r="L50" i="1"/>
  <c r="L89" i="1"/>
  <c r="L179" i="1"/>
  <c r="L4" i="1"/>
  <c r="L52" i="1"/>
  <c r="L131" i="1"/>
  <c r="L91" i="1"/>
  <c r="L14" i="1"/>
  <c r="L1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L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Share of the facility's crude requirement (column H) that this port covers. Ports are used closest first: each covers as much as it imports until the requirement is met, so the ports of a facility add up to 1.</t>
        </r>
      </text>
    </comment>
  </commentList>
</comments>
</file>

<file path=xl/sharedStrings.xml><?xml version="1.0" encoding="utf-8"?>
<sst xmlns="http://schemas.openxmlformats.org/spreadsheetml/2006/main" count="786" uniqueCount="570">
  <si>
    <t>facility_number</t>
  </si>
  <si>
    <t>facility_id</t>
  </si>
  <si>
    <t>facility_name</t>
  </si>
  <si>
    <t>unit_id</t>
  </si>
  <si>
    <t>unit_name</t>
  </si>
  <si>
    <t>design_capacity_t_per_year</t>
  </si>
  <si>
    <t>actual_capacity_t_per_year</t>
  </si>
  <si>
    <t>port_id</t>
  </si>
  <si>
    <t>port_name</t>
  </si>
  <si>
    <t>port_distance_km</t>
  </si>
  <si>
    <t>port_imported_crude_t_2025</t>
  </si>
  <si>
    <t>fraction_of_requirement_covered</t>
  </si>
  <si>
    <t>047888e3</t>
  </si>
  <si>
    <t>Whitegate Refinery</t>
  </si>
  <si>
    <t>u_0003</t>
  </si>
  <si>
    <t>Crude</t>
  </si>
  <si>
    <t>fe1f5479</t>
  </si>
  <si>
    <t>Irving Oil Whitegate Refinery</t>
  </si>
  <si>
    <t>06f2fa25</t>
  </si>
  <si>
    <t>Petromidia Refinery</t>
  </si>
  <si>
    <t>u_0004</t>
  </si>
  <si>
    <t>Atmospheric Distillation (DA)</t>
  </si>
  <si>
    <t>65d622bd</t>
  </si>
  <si>
    <t>Midia [RO]</t>
  </si>
  <si>
    <t>08ffe6d2</t>
  </si>
  <si>
    <t>Fredericia Refinery</t>
  </si>
  <si>
    <t>u_0005</t>
  </si>
  <si>
    <t>7e8542d1</t>
  </si>
  <si>
    <t>Fredericia (Og Shell-Havnen) [DK]</t>
  </si>
  <si>
    <t>ac64c327</t>
  </si>
  <si>
    <t>Kalundborg [DK]</t>
  </si>
  <si>
    <t>0943f240</t>
  </si>
  <si>
    <t>Lukoil Neftochim Burgas Refinery</t>
  </si>
  <si>
    <t>u_0006</t>
  </si>
  <si>
    <t>AD 2 (Atmospheric Distillation)</t>
  </si>
  <si>
    <t>d0fe845d</t>
  </si>
  <si>
    <t>Burgas (Bourgas) [BG]</t>
  </si>
  <si>
    <t>u_0007</t>
  </si>
  <si>
    <t>AD 3 (Atmospheric Distillation)</t>
  </si>
  <si>
    <t>1e7daa53</t>
  </si>
  <si>
    <t>Lukoil Neftochim Burgas AD (Rossenets)</t>
  </si>
  <si>
    <t>u_0008</t>
  </si>
  <si>
    <t>AD 4 (Atmospheric Distillation)</t>
  </si>
  <si>
    <t>af5c2042</t>
  </si>
  <si>
    <t>Marmara Ereglisi [TR]</t>
  </si>
  <si>
    <t>u_0009</t>
  </si>
  <si>
    <t>AD 5 (Atmospheric Distillation)</t>
  </si>
  <si>
    <t>de5ae086</t>
  </si>
  <si>
    <t>Constanta [RO]</t>
  </si>
  <si>
    <t>0a8165e3</t>
  </si>
  <si>
    <t>Cressier Refinery</t>
  </si>
  <si>
    <t>u_0012</t>
  </si>
  <si>
    <t>DA (Atmospheric Distillation)</t>
  </si>
  <si>
    <t>ab338597</t>
  </si>
  <si>
    <t>Genoa [IT]</t>
  </si>
  <si>
    <t>0dc94d4c</t>
  </si>
  <si>
    <t>Preemraff Lysekil Refinery</t>
  </si>
  <si>
    <t>u_0017</t>
  </si>
  <si>
    <t>Crude Distillation Unit (210)</t>
  </si>
  <si>
    <t>87da84dc</t>
  </si>
  <si>
    <t>Preemraff Lysekil (Ex-Scanraff)</t>
  </si>
  <si>
    <t>5002acae</t>
  </si>
  <si>
    <t>Gothenburg [SE]</t>
  </si>
  <si>
    <t>0edae41d</t>
  </si>
  <si>
    <t>Porvoo Refinery</t>
  </si>
  <si>
    <t>u_0019</t>
  </si>
  <si>
    <t>Atmospheric Crude Distillation</t>
  </si>
  <si>
    <t>263da640</t>
  </si>
  <si>
    <t>Porvoo [FI]</t>
  </si>
  <si>
    <t>1288c44b</t>
  </si>
  <si>
    <t>Taranto Refinery</t>
  </si>
  <si>
    <t>u_0021</t>
  </si>
  <si>
    <t>CDU (U100)</t>
  </si>
  <si>
    <t>b5853929</t>
  </si>
  <si>
    <t>Taranto [IT]</t>
  </si>
  <si>
    <t>47e82818</t>
  </si>
  <si>
    <t>Milazzo [IT]</t>
  </si>
  <si>
    <t>141dc4d9</t>
  </si>
  <si>
    <t>Holborn Refinery</t>
  </si>
  <si>
    <t>u_0023</t>
  </si>
  <si>
    <t>Crude Distillation</t>
  </si>
  <si>
    <t>9c25973d</t>
  </si>
  <si>
    <t>Hamburg [DE]</t>
  </si>
  <si>
    <t>1cd9103c</t>
  </si>
  <si>
    <t>Brunsbuttel, SH [DE]</t>
  </si>
  <si>
    <t>19240ddd</t>
  </si>
  <si>
    <t>Wilhelmshaven, NI [DE]</t>
  </si>
  <si>
    <t>159fda82</t>
  </si>
  <si>
    <t>Bilbao Refinery</t>
  </si>
  <si>
    <t>u_0027</t>
  </si>
  <si>
    <t>Crude 1</t>
  </si>
  <si>
    <t>b7fea969</t>
  </si>
  <si>
    <t>Bilbao [ES]</t>
  </si>
  <si>
    <t>u_0028</t>
  </si>
  <si>
    <t>Crude 2</t>
  </si>
  <si>
    <t>36c4ccef</t>
  </si>
  <si>
    <t>Ferrol [ES]</t>
  </si>
  <si>
    <t>af489593</t>
  </si>
  <si>
    <t>La Coruna [ES]</t>
  </si>
  <si>
    <t>176640e9</t>
  </si>
  <si>
    <t>Donges Refinery</t>
  </si>
  <si>
    <t>u_0030</t>
  </si>
  <si>
    <t>DA (D2E) (Atmospheric Distillation)</t>
  </si>
  <si>
    <t>d79eb2e2</t>
  </si>
  <si>
    <t>Fawley [GB]</t>
  </si>
  <si>
    <t>18962161</t>
  </si>
  <si>
    <t>Sines Refinery</t>
  </si>
  <si>
    <t>u_0031</t>
  </si>
  <si>
    <t>Atmospheric Distillation</t>
  </si>
  <si>
    <t>50d7a92b</t>
  </si>
  <si>
    <t>Sines [PT]</t>
  </si>
  <si>
    <t>19564e64</t>
  </si>
  <si>
    <t>Puertollano Refinery</t>
  </si>
  <si>
    <t>u_0033</t>
  </si>
  <si>
    <t>Crude 1 (U-601)</t>
  </si>
  <si>
    <t>cb0703b0</t>
  </si>
  <si>
    <t>Repsol Refinery Cartagena</t>
  </si>
  <si>
    <t>u_0034</t>
  </si>
  <si>
    <t>Crude 2 (U-602)</t>
  </si>
  <si>
    <t>1c531849</t>
  </si>
  <si>
    <t>Aspropyrgos Refinery</t>
  </si>
  <si>
    <t>u_0038</t>
  </si>
  <si>
    <t>Crude 1 (2100)</t>
  </si>
  <si>
    <t>0f764555</t>
  </si>
  <si>
    <t>Aspropyrgos [GR]</t>
  </si>
  <si>
    <t>u_0039</t>
  </si>
  <si>
    <t>Crude 2 (2000)</t>
  </si>
  <si>
    <t>e682bb86</t>
  </si>
  <si>
    <t>Pachi, Megara [GR]</t>
  </si>
  <si>
    <t>1daea1f7</t>
  </si>
  <si>
    <t>Kalundborg Refinery</t>
  </si>
  <si>
    <t>u_0042</t>
  </si>
  <si>
    <t>Section 200 (Atmospheric Distillation)</t>
  </si>
  <si>
    <t>1e8ccaa5</t>
  </si>
  <si>
    <t>Pernis Refinery</t>
  </si>
  <si>
    <t>u_0045</t>
  </si>
  <si>
    <t>CD 6 (Sour)</t>
  </si>
  <si>
    <t>09ce0874</t>
  </si>
  <si>
    <t>Chane Botlek Terminal</t>
  </si>
  <si>
    <t>u_0046</t>
  </si>
  <si>
    <t>Crude 5 (Sweet&amp;Sour)</t>
  </si>
  <si>
    <t>7ad6df35</t>
  </si>
  <si>
    <t>Rotterdam [NL]</t>
  </si>
  <si>
    <t>1f2d783f</t>
  </si>
  <si>
    <t>Nynas Gothenburg Refinery</t>
  </si>
  <si>
    <t>u_0047</t>
  </si>
  <si>
    <t>2290f820</t>
  </si>
  <si>
    <t>Milazzo Refinery</t>
  </si>
  <si>
    <t>u_0051</t>
  </si>
  <si>
    <t>U013 TP3 (Topping 3)</t>
  </si>
  <si>
    <t>u_0052</t>
  </si>
  <si>
    <t>U017 TP4 (Topping 4)</t>
  </si>
  <si>
    <t>24bb32b4</t>
  </si>
  <si>
    <t>Tarragona Refinery</t>
  </si>
  <si>
    <t>u_0054</t>
  </si>
  <si>
    <t>12d6ed9a</t>
  </si>
  <si>
    <t>Asfaltos Espanoles (ASESA)</t>
  </si>
  <si>
    <t>u_0055</t>
  </si>
  <si>
    <t>2a1bce3a</t>
  </si>
  <si>
    <t>Tarragona [ES]</t>
  </si>
  <si>
    <t>26af24bb</t>
  </si>
  <si>
    <t>Gonfreville Refinery (Normandie)</t>
  </si>
  <si>
    <t>u_0058</t>
  </si>
  <si>
    <t>D11 (Crude Unit)</t>
  </si>
  <si>
    <t>307f8e57</t>
  </si>
  <si>
    <t>ASESA Asphalt Refinery</t>
  </si>
  <si>
    <t>u_0066</t>
  </si>
  <si>
    <t>Atmospheric &amp; Vacuum Distillation</t>
  </si>
  <si>
    <t>30d8879f</t>
  </si>
  <si>
    <t>Gelsenkirchen Horst Refinery</t>
  </si>
  <si>
    <t>u_0067</t>
  </si>
  <si>
    <t>A11 Topping Unit</t>
  </si>
  <si>
    <t>a138d843</t>
  </si>
  <si>
    <t>Antwerp [BE]</t>
  </si>
  <si>
    <t>35c64be4</t>
  </si>
  <si>
    <t>Jedlicze Refinery</t>
  </si>
  <si>
    <t>u_0069</t>
  </si>
  <si>
    <t>8a27ed79</t>
  </si>
  <si>
    <t>Gdansk [PL]</t>
  </si>
  <si>
    <t>5d688dfc</t>
  </si>
  <si>
    <t>NAFTOPORT Gdansk Oil Terminal</t>
  </si>
  <si>
    <t>383f296e</t>
  </si>
  <si>
    <t>Rotterdam Refinery</t>
  </si>
  <si>
    <t>u_0072</t>
  </si>
  <si>
    <t>Pipestill (Crude 1)</t>
  </si>
  <si>
    <t>391abb50</t>
  </si>
  <si>
    <t>Feyzin Refinery</t>
  </si>
  <si>
    <t>u_0075</t>
  </si>
  <si>
    <t>DA2 (Atmospheric Distillation) (PC2)</t>
  </si>
  <si>
    <t>fb0b3578</t>
  </si>
  <si>
    <t>Savona-Vado [IT]</t>
  </si>
  <si>
    <t>39dc8740</t>
  </si>
  <si>
    <t>Fos-sur-Mer Refinery</t>
  </si>
  <si>
    <t>u_0076</t>
  </si>
  <si>
    <t>DA (Atmospheric Distillation Unit)</t>
  </si>
  <si>
    <t>3c23882e</t>
  </si>
  <si>
    <t>Schwedt Refinery</t>
  </si>
  <si>
    <t>u_0078</t>
  </si>
  <si>
    <t>9944fac5</t>
  </si>
  <si>
    <t>Rostock [DE]</t>
  </si>
  <si>
    <t>u_0079</t>
  </si>
  <si>
    <t>8f793f55</t>
  </si>
  <si>
    <t>Stigsnaes [DK]</t>
  </si>
  <si>
    <t>403c865c</t>
  </si>
  <si>
    <t>Burghausen Refinery</t>
  </si>
  <si>
    <t>u_0083</t>
  </si>
  <si>
    <t>Crude Distillation Unit</t>
  </si>
  <si>
    <t>ae36b05f</t>
  </si>
  <si>
    <t>Trieste [IT]</t>
  </si>
  <si>
    <t>46e5aa3e</t>
  </si>
  <si>
    <t>Pancevo Refinery</t>
  </si>
  <si>
    <t>u_0084</t>
  </si>
  <si>
    <t>Atmospheric Distillation 2</t>
  </si>
  <si>
    <t>a6813687</t>
  </si>
  <si>
    <t>Bakar, Rijeka [HR]</t>
  </si>
  <si>
    <t>u_0085</t>
  </si>
  <si>
    <t>Crude Distillation 1 S-100</t>
  </si>
  <si>
    <t>4a4d05f7</t>
  </si>
  <si>
    <t>MiRO Refinery Karlsruhe</t>
  </si>
  <si>
    <t>u_0093</t>
  </si>
  <si>
    <t>Topping 1</t>
  </si>
  <si>
    <t>u_0094</t>
  </si>
  <si>
    <t>Topping 2</t>
  </si>
  <si>
    <t>u_0095</t>
  </si>
  <si>
    <t>Topping 3</t>
  </si>
  <si>
    <t>4b8f324d</t>
  </si>
  <si>
    <t>Szazhalombatta Duna Refinery</t>
  </si>
  <si>
    <t>u_0097</t>
  </si>
  <si>
    <t>CD 1</t>
  </si>
  <si>
    <t>u_0098</t>
  </si>
  <si>
    <t>CD 2</t>
  </si>
  <si>
    <t>u_0099</t>
  </si>
  <si>
    <t>CD 3</t>
  </si>
  <si>
    <t>4ce24db9</t>
  </si>
  <si>
    <t>Ingolstadt Refinery</t>
  </si>
  <si>
    <t>u_0100</t>
  </si>
  <si>
    <t>u_0101</t>
  </si>
  <si>
    <t>4f22984e</t>
  </si>
  <si>
    <t>Batman Refinery</t>
  </si>
  <si>
    <t>u_0102</t>
  </si>
  <si>
    <t>Crude 100</t>
  </si>
  <si>
    <t>8cb1f5e9</t>
  </si>
  <si>
    <t>Dortyol [TR]</t>
  </si>
  <si>
    <t>u_0103</t>
  </si>
  <si>
    <t>Crude 1100</t>
  </si>
  <si>
    <t>d4c77b69</t>
  </si>
  <si>
    <t>Ceyhan [TR]</t>
  </si>
  <si>
    <t>7c408615</t>
  </si>
  <si>
    <t>Tupras Refinery - Tutunciftlik/Izmit</t>
  </si>
  <si>
    <t>57c8a769</t>
  </si>
  <si>
    <t>Trzebinia Refinery</t>
  </si>
  <si>
    <t>u_0110</t>
  </si>
  <si>
    <t>58b886ef</t>
  </si>
  <si>
    <t>Iplom Refinery</t>
  </si>
  <si>
    <t>u_0112</t>
  </si>
  <si>
    <t>Topping U100</t>
  </si>
  <si>
    <t>5a910042</t>
  </si>
  <si>
    <t>Izmit Refinery</t>
  </si>
  <si>
    <t>u_0114</t>
  </si>
  <si>
    <t>Crude (Plant 2)</t>
  </si>
  <si>
    <t>u_0115</t>
  </si>
  <si>
    <t>Crude (Plant 25)</t>
  </si>
  <si>
    <t>u_0116</t>
  </si>
  <si>
    <t>Crude (Plant 5)</t>
  </si>
  <si>
    <t>62086957</t>
  </si>
  <si>
    <t>Antwerpen Refinery</t>
  </si>
  <si>
    <t>u_0125</t>
  </si>
  <si>
    <t>CDU 3 (Crude) (J63)</t>
  </si>
  <si>
    <t>u_0126</t>
  </si>
  <si>
    <t>CDU 4 (Crude)</t>
  </si>
  <si>
    <t>6a54ad25</t>
  </si>
  <si>
    <t>Gelsenkirchen Scholven Refinery</t>
  </si>
  <si>
    <t>u_0134</t>
  </si>
  <si>
    <t>A 8 Topping Unit</t>
  </si>
  <si>
    <t>u_0135</t>
  </si>
  <si>
    <t>A7 Topping Unit</t>
  </si>
  <si>
    <t>6d03de95</t>
  </si>
  <si>
    <t>Heide Refinery</t>
  </si>
  <si>
    <t>u_0139</t>
  </si>
  <si>
    <t>Topping Unit 5</t>
  </si>
  <si>
    <t>u_0140</t>
  </si>
  <si>
    <t>Topping Unit 6</t>
  </si>
  <si>
    <t>70d5316a</t>
  </si>
  <si>
    <t>Bayernoil Neustadt Refinery</t>
  </si>
  <si>
    <t>u_0142</t>
  </si>
  <si>
    <t>74a48812</t>
  </si>
  <si>
    <t>Rijeka Refinery</t>
  </si>
  <si>
    <t>u_0147</t>
  </si>
  <si>
    <t>CDU-Topping 3</t>
  </si>
  <si>
    <t>765d6912</t>
  </si>
  <si>
    <t>BP Rotterdam Refinery</t>
  </si>
  <si>
    <t>u_0150</t>
  </si>
  <si>
    <t>CDU 3 (Sweet)</t>
  </si>
  <si>
    <t>846fd219</t>
  </si>
  <si>
    <t>BP Europoort (Ex Nerefco)</t>
  </si>
  <si>
    <t>u_0151</t>
  </si>
  <si>
    <t>CDU 4 (Sour)</t>
  </si>
  <si>
    <t>aded2aa9</t>
  </si>
  <si>
    <t>Shell Europoort Terminal</t>
  </si>
  <si>
    <t>9b36065a</t>
  </si>
  <si>
    <t>Maatschap Europoort Terminal</t>
  </si>
  <si>
    <t>7a003339</t>
  </si>
  <si>
    <t>Mongstad Refinery</t>
  </si>
  <si>
    <t>u_0154</t>
  </si>
  <si>
    <t>7a3911e7</t>
  </si>
  <si>
    <t>Antwerp Refinery</t>
  </si>
  <si>
    <t>u_0155</t>
  </si>
  <si>
    <t>Crude Unit</t>
  </si>
  <si>
    <t>7ba4e4be</t>
  </si>
  <si>
    <t>Rakovski Refinery</t>
  </si>
  <si>
    <t>u_0157</t>
  </si>
  <si>
    <t>u_0158</t>
  </si>
  <si>
    <t>u_0159</t>
  </si>
  <si>
    <t>Crude and Vacuum 2</t>
  </si>
  <si>
    <t>7ebca8e8</t>
  </si>
  <si>
    <t>Sannazzaro Refinery</t>
  </si>
  <si>
    <t>u_0163</t>
  </si>
  <si>
    <t>Topping 1 (Unit 53)</t>
  </si>
  <si>
    <t>u_0164</t>
  </si>
  <si>
    <t>Topping Unit 2 (Unit 10)</t>
  </si>
  <si>
    <t>7ec4e655</t>
  </si>
  <si>
    <t>Apateu Refinery</t>
  </si>
  <si>
    <t>u_0165</t>
  </si>
  <si>
    <t>Atmospheric Distillation (DAV)</t>
  </si>
  <si>
    <t>818851d9</t>
  </si>
  <si>
    <t>Elefsina Refinery</t>
  </si>
  <si>
    <t>u_0167</t>
  </si>
  <si>
    <t>Crude Distillation (Crude 01)</t>
  </si>
  <si>
    <t>u_0168</t>
  </si>
  <si>
    <t>Crude Distillation (Crude 02)</t>
  </si>
  <si>
    <t>8527d0ef</t>
  </si>
  <si>
    <t>Petrobrazi Refinery</t>
  </si>
  <si>
    <t>u_0171</t>
  </si>
  <si>
    <t>858966f0</t>
  </si>
  <si>
    <t>Schwechat Refinery</t>
  </si>
  <si>
    <t>u_0172</t>
  </si>
  <si>
    <t>u_0173</t>
  </si>
  <si>
    <t>85b45fea</t>
  </si>
  <si>
    <t>Notre-Dame-de-Gravenchon Refinery</t>
  </si>
  <si>
    <t>u_0174</t>
  </si>
  <si>
    <t>Crude 1 (Pegase)</t>
  </si>
  <si>
    <t>u_0175</t>
  </si>
  <si>
    <t>Crude 2 (Unit 17-1, Conversion)</t>
  </si>
  <si>
    <t>8ad9a60e</t>
  </si>
  <si>
    <t>La Coruna Refinery</t>
  </si>
  <si>
    <t>u_0182</t>
  </si>
  <si>
    <t>u_0183</t>
  </si>
  <si>
    <t>8b0072a2</t>
  </si>
  <si>
    <t>Humber Refinery</t>
  </si>
  <si>
    <t>u_0184</t>
  </si>
  <si>
    <t>CTU 1</t>
  </si>
  <si>
    <t>4fc6f7af</t>
  </si>
  <si>
    <t>Immingham [GB]</t>
  </si>
  <si>
    <t>u_0185</t>
  </si>
  <si>
    <t>CTU 2</t>
  </si>
  <si>
    <t>caaf9dcf</t>
  </si>
  <si>
    <t>Tetney Terminal [GB]</t>
  </si>
  <si>
    <t>8d5430e0</t>
  </si>
  <si>
    <t>St1 Gothenburg Refinery</t>
  </si>
  <si>
    <t>u_0187</t>
  </si>
  <si>
    <t>Crude Distillation Unit 1</t>
  </si>
  <si>
    <t>u_0188</t>
  </si>
  <si>
    <t>Crude Distillation Unit 2</t>
  </si>
  <si>
    <t>u_0189</t>
  </si>
  <si>
    <t>Crude Distillation Unit 3</t>
  </si>
  <si>
    <t>951e82c8</t>
  </si>
  <si>
    <t>Alma Petroli Refinery</t>
  </si>
  <si>
    <t>u_0194</t>
  </si>
  <si>
    <t>Primary Distillation (CDU)</t>
  </si>
  <si>
    <t>741e890b</t>
  </si>
  <si>
    <t>Alma Petroli S.p.A. Terminal</t>
  </si>
  <si>
    <t>db8af6ec</t>
  </si>
  <si>
    <t>API Refinery Terminal</t>
  </si>
  <si>
    <t>0ae30682</t>
  </si>
  <si>
    <t>Api Refinery SBM</t>
  </si>
  <si>
    <t>95955ab2</t>
  </si>
  <si>
    <t>Thessaloniki Refinery</t>
  </si>
  <si>
    <t>u_0195</t>
  </si>
  <si>
    <t>effbc0d3</t>
  </si>
  <si>
    <t>Thessaloniki [GR]</t>
  </si>
  <si>
    <t>959a839b</t>
  </si>
  <si>
    <t>Sarpom Refinery</t>
  </si>
  <si>
    <t>u_0196</t>
  </si>
  <si>
    <t>APS3 (Topping 3)</t>
  </si>
  <si>
    <t>9f011286</t>
  </si>
  <si>
    <t>Saras Refinery</t>
  </si>
  <si>
    <t>u_0205</t>
  </si>
  <si>
    <t>Topping RT2</t>
  </si>
  <si>
    <t>d941692a</t>
  </si>
  <si>
    <t>Sarlux (Ex-Saras)</t>
  </si>
  <si>
    <t>u_0206</t>
  </si>
  <si>
    <t>Topping T1</t>
  </si>
  <si>
    <t>u_0207</t>
  </si>
  <si>
    <t>Topping T2</t>
  </si>
  <si>
    <t>a43ffbc5</t>
  </si>
  <si>
    <t>Litvinov Refinery</t>
  </si>
  <si>
    <t>u_0212</t>
  </si>
  <si>
    <t>CDU 1 (Crude Distillation Unit)</t>
  </si>
  <si>
    <t>u_0213</t>
  </si>
  <si>
    <t>CDU 2 (Crude Distillation Unit)</t>
  </si>
  <si>
    <t>a6630b6f</t>
  </si>
  <si>
    <t>Zeeland Refinery</t>
  </si>
  <si>
    <t>u_0216</t>
  </si>
  <si>
    <t>b4df57a6</t>
  </si>
  <si>
    <t>Vopak Terminal Europoort</t>
  </si>
  <si>
    <t>a81a21a0</t>
  </si>
  <si>
    <t>Petroineos Lavera Refinery</t>
  </si>
  <si>
    <t>u_0219</t>
  </si>
  <si>
    <t>Topping 5 (Distillation-Crude)</t>
  </si>
  <si>
    <t>09f877a8</t>
  </si>
  <si>
    <t>Barcelona [ES]</t>
  </si>
  <si>
    <t>a92397ab</t>
  </si>
  <si>
    <t>Priolo Gargallo ISAB Refinery (South)</t>
  </si>
  <si>
    <t>u_0220</t>
  </si>
  <si>
    <t>Unit 100 Topping</t>
  </si>
  <si>
    <t>87e48f98</t>
  </si>
  <si>
    <t>Isab South (Priolo)</t>
  </si>
  <si>
    <t>b3f4dd08</t>
  </si>
  <si>
    <t>Izmir Refinery</t>
  </si>
  <si>
    <t>u_0231</t>
  </si>
  <si>
    <t>Crude 100 (Old)</t>
  </si>
  <si>
    <t>d74f673f</t>
  </si>
  <si>
    <t>Tupras Refinery - Aliaga/Izmir</t>
  </si>
  <si>
    <t>u_0232</t>
  </si>
  <si>
    <t>Crude 7000</t>
  </si>
  <si>
    <t>b7a45f35</t>
  </si>
  <si>
    <t>Nynashamn Refinery</t>
  </si>
  <si>
    <t>u_0235</t>
  </si>
  <si>
    <t>f0c4ad73</t>
  </si>
  <si>
    <t>Nynashamn [SE]</t>
  </si>
  <si>
    <t>9eaa9be9</t>
  </si>
  <si>
    <t>Butinge [LT]</t>
  </si>
  <si>
    <t>b97b1fa7</t>
  </si>
  <si>
    <t>Zalaegerszeg Bitumen Refinery</t>
  </si>
  <si>
    <t>u_0237</t>
  </si>
  <si>
    <t>A1V Atmospheric Distillation</t>
  </si>
  <si>
    <t>b9b7b8a8</t>
  </si>
  <si>
    <t>Leuna Refinery</t>
  </si>
  <si>
    <t>u_0238</t>
  </si>
  <si>
    <t>ba34bcc6</t>
  </si>
  <si>
    <t>Petrotel-Lukoil Refinery</t>
  </si>
  <si>
    <t>u_0239</t>
  </si>
  <si>
    <t>Atmospheric Distillation (DAV3)</t>
  </si>
  <si>
    <t>bb6398b6</t>
  </si>
  <si>
    <t>Rheinland Godorf Refinery (North)</t>
  </si>
  <si>
    <t>u_0240</t>
  </si>
  <si>
    <t>Crude Distillation 1</t>
  </si>
  <si>
    <t>u_0241</t>
  </si>
  <si>
    <t>Crude Distillation 2</t>
  </si>
  <si>
    <t>be27ba75</t>
  </si>
  <si>
    <t>Corinth Refinery</t>
  </si>
  <si>
    <t>u_0242</t>
  </si>
  <si>
    <t>Crude U-1100 (Crude 1)</t>
  </si>
  <si>
    <t>e4de39ff</t>
  </si>
  <si>
    <t>Agioi Theodoroi [GR]</t>
  </si>
  <si>
    <t>u_0243</t>
  </si>
  <si>
    <t>Crude U-7100 (Crude 2)</t>
  </si>
  <si>
    <t>c3199690</t>
  </si>
  <si>
    <t>Preemraff Gothenburg Refinery</t>
  </si>
  <si>
    <t>u_0251</t>
  </si>
  <si>
    <t>u_0252</t>
  </si>
  <si>
    <t>c4ac66e9</t>
  </si>
  <si>
    <t>Api Ancona Refinery</t>
  </si>
  <si>
    <t>u_0254</t>
  </si>
  <si>
    <t>Topping (1000)</t>
  </si>
  <si>
    <t>c64eed0e</t>
  </si>
  <si>
    <t>Bayernoil Vohburg Refinery</t>
  </si>
  <si>
    <t>u_0255</t>
  </si>
  <si>
    <t>u_0256</t>
  </si>
  <si>
    <t>c7665fa4</t>
  </si>
  <si>
    <t>Kirikkale Refinery</t>
  </si>
  <si>
    <t>u_0257</t>
  </si>
  <si>
    <t>Crude (ADU) (Plt 1100)</t>
  </si>
  <si>
    <t>c7729100</t>
  </si>
  <si>
    <t>Castellon Refinery</t>
  </si>
  <si>
    <t>u_0258</t>
  </si>
  <si>
    <t>e27c1bf9</t>
  </si>
  <si>
    <t>Castellon De La Plana [ES]</t>
  </si>
  <si>
    <t>c78f7046</t>
  </si>
  <si>
    <t>Mazeikiai Refinery</t>
  </si>
  <si>
    <t>u_0259</t>
  </si>
  <si>
    <t>CDU- S100 (Crude 01)</t>
  </si>
  <si>
    <t>cc164d13</t>
  </si>
  <si>
    <t>San Roque Energy Park (Gibraltar Refinery)</t>
  </si>
  <si>
    <t>u_0264</t>
  </si>
  <si>
    <t>c427150a</t>
  </si>
  <si>
    <t>Algeciras [ES]</t>
  </si>
  <si>
    <t>u_0265</t>
  </si>
  <si>
    <t>Crude 3</t>
  </si>
  <si>
    <t>d378f0f0</t>
  </si>
  <si>
    <t>Priolo Gargallo ISAB Refinery (North)</t>
  </si>
  <si>
    <t>u_0270</t>
  </si>
  <si>
    <t>Topping (CR 30)</t>
  </si>
  <si>
    <t>8d803d51</t>
  </si>
  <si>
    <t>Isab North (Priolo)</t>
  </si>
  <si>
    <t>64d4fb0e</t>
  </si>
  <si>
    <t>Augusta [IT]</t>
  </si>
  <si>
    <t>daac8705</t>
  </si>
  <si>
    <t>Fawley Refinery</t>
  </si>
  <si>
    <t>u_0277</t>
  </si>
  <si>
    <t>Pipestill 1</t>
  </si>
  <si>
    <t>u_0278</t>
  </si>
  <si>
    <t>Pipestill 3</t>
  </si>
  <si>
    <t>e90ab211</t>
  </si>
  <si>
    <t>La Rabida Energy Park (La Rabida Refinery)</t>
  </si>
  <si>
    <t>u_0290</t>
  </si>
  <si>
    <t>6bae4a23</t>
  </si>
  <si>
    <t>Huelva [ES]</t>
  </si>
  <si>
    <t>u_0291</t>
  </si>
  <si>
    <t>e9e6f955</t>
  </si>
  <si>
    <t>Cartagena Refinery (Repsol)</t>
  </si>
  <si>
    <t>u_0292</t>
  </si>
  <si>
    <t>u_0293</t>
  </si>
  <si>
    <t>Topping 4 (U-601)</t>
  </si>
  <si>
    <t>eb05f2e5</t>
  </si>
  <si>
    <t>Gdansk Refinery</t>
  </si>
  <si>
    <t>u_0296</t>
  </si>
  <si>
    <t>CDU/VDU (120)</t>
  </si>
  <si>
    <t>u_0297</t>
  </si>
  <si>
    <t>Crude (100)</t>
  </si>
  <si>
    <t>eddbcbe4</t>
  </si>
  <si>
    <t>Lingen Emsland Refinery</t>
  </si>
  <si>
    <t>u_0298</t>
  </si>
  <si>
    <t>u_0299</t>
  </si>
  <si>
    <t>f04fa134</t>
  </si>
  <si>
    <t>Eastham Refinery</t>
  </si>
  <si>
    <t>u_0303</t>
  </si>
  <si>
    <t>e766d6af</t>
  </si>
  <si>
    <t>Liverpool [GB]</t>
  </si>
  <si>
    <t>f082d14f</t>
  </si>
  <si>
    <t>Plock Refinery</t>
  </si>
  <si>
    <t>u_0304</t>
  </si>
  <si>
    <t>CDU II</t>
  </si>
  <si>
    <t>u_0305</t>
  </si>
  <si>
    <t>CDU III</t>
  </si>
  <si>
    <t>u_0306</t>
  </si>
  <si>
    <t>CDU IV</t>
  </si>
  <si>
    <t>u_0307</t>
  </si>
  <si>
    <t>CDU VI</t>
  </si>
  <si>
    <t>f2e21dac</t>
  </si>
  <si>
    <t>Aegean Aliaga (Star Ege) Refinery</t>
  </si>
  <si>
    <t>u_0310</t>
  </si>
  <si>
    <t>Crude (U-100)</t>
  </si>
  <si>
    <t>14f4a8c6</t>
  </si>
  <si>
    <t>Socar Star Refinery</t>
  </si>
  <si>
    <t>f7681451</t>
  </si>
  <si>
    <t>Augusta Refinery</t>
  </si>
  <si>
    <t>u_0314</t>
  </si>
  <si>
    <t>Topping 4 (T-4)</t>
  </si>
  <si>
    <t>u_0315</t>
  </si>
  <si>
    <t>Topping 5 (T-5)</t>
  </si>
  <si>
    <t>fac4c032</t>
  </si>
  <si>
    <t>Slovnaft Refinery (MOL Nyrt)</t>
  </si>
  <si>
    <t>u_0319</t>
  </si>
  <si>
    <t>AD 5</t>
  </si>
  <si>
    <t>u_0320</t>
  </si>
  <si>
    <t>AVD 6 (Crude-Vacuum Combo)</t>
  </si>
  <si>
    <t>fae4e58f</t>
  </si>
  <si>
    <t>Stanlow Refinery</t>
  </si>
  <si>
    <t>u_0321</t>
  </si>
  <si>
    <t>CDU 4</t>
  </si>
  <si>
    <t>fbd5de55</t>
  </si>
  <si>
    <t>Pembroke Refinery</t>
  </si>
  <si>
    <t>u_0323</t>
  </si>
  <si>
    <t>e221d8f7</t>
  </si>
  <si>
    <t>Pembroke [GB]</t>
  </si>
  <si>
    <t>fd662c46</t>
  </si>
  <si>
    <t>Kralupy nad Vltavou Refinery</t>
  </si>
  <si>
    <t>u_0325</t>
  </si>
  <si>
    <t>CDU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</si>
</sst>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2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/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2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"/>
  <sheetViews>
    <sheetView tabSelected="1" workbookViewId="0">
      <pane ySplit="1" topLeftCell="A2" activePane="bottomLeft" state="frozen"/>
      <selection pane="bottomLeft" activeCell="M10" sqref="M10"/>
    </sheetView>
  </sheetViews>
  <sheetFormatPr defaultRowHeight="15" x14ac:dyDescent="0.25"/>
  <cols>
    <col min="1" max="1" width="17" customWidth="1"/>
    <col min="2" max="2" width="13" customWidth="1"/>
    <col min="3" max="3" width="44" customWidth="1"/>
    <col min="4" max="4" width="9" customWidth="1"/>
    <col min="5" max="5" width="40" customWidth="1"/>
    <col min="6" max="6" width="28" customWidth="1"/>
    <col min="7" max="7" width="30" customWidth="1"/>
    <col min="8" max="8" width="10" customWidth="1"/>
    <col min="9" max="9" width="40" customWidth="1"/>
    <col min="10" max="10" width="18" customWidth="1"/>
    <col min="11" max="11" width="28" customWidth="1"/>
    <col min="12" max="13" width="33" customWidth="1"/>
    <col min="14" max="14" width="1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>
        <v>1</v>
      </c>
      <c r="B2" s="4" t="s">
        <v>12</v>
      </c>
      <c r="C2" s="5" t="s">
        <v>13</v>
      </c>
      <c r="D2" s="4" t="s">
        <v>14</v>
      </c>
      <c r="E2" s="5" t="s">
        <v>15</v>
      </c>
      <c r="F2" s="6">
        <v>3737217</v>
      </c>
      <c r="G2" s="6">
        <f>F2*0.8</f>
        <v>2989773.6</v>
      </c>
      <c r="H2" s="4" t="s">
        <v>16</v>
      </c>
      <c r="I2" s="5" t="s">
        <v>17</v>
      </c>
      <c r="J2" s="7">
        <v>1.8</v>
      </c>
      <c r="K2" s="6">
        <v>3011497</v>
      </c>
      <c r="L2" s="8">
        <f>MIN(K2,MAX(0,SUM(G2:G2)-0))/SUM(G2:G2)</f>
        <v>1</v>
      </c>
    </row>
    <row r="3" spans="1:12" x14ac:dyDescent="0.25">
      <c r="A3" s="9">
        <v>2</v>
      </c>
      <c r="B3" s="10" t="s">
        <v>18</v>
      </c>
      <c r="C3" s="11" t="s">
        <v>19</v>
      </c>
      <c r="D3" s="10" t="s">
        <v>20</v>
      </c>
      <c r="E3" s="11" t="s">
        <v>21</v>
      </c>
      <c r="F3" s="12">
        <v>5232104</v>
      </c>
      <c r="G3" s="12">
        <f>F3*0.8</f>
        <v>4185683.2</v>
      </c>
      <c r="H3" s="10" t="s">
        <v>22</v>
      </c>
      <c r="I3" s="11" t="s">
        <v>23</v>
      </c>
      <c r="J3" s="13">
        <v>4.3</v>
      </c>
      <c r="K3" s="12">
        <v>5666538</v>
      </c>
      <c r="L3" s="14">
        <f>MIN(K3,MAX(0,SUM(G3:G3)-0))/SUM(G3:G3)</f>
        <v>1</v>
      </c>
    </row>
    <row r="4" spans="1:12" x14ac:dyDescent="0.25">
      <c r="A4" s="9">
        <v>3</v>
      </c>
      <c r="B4" s="10" t="s">
        <v>24</v>
      </c>
      <c r="C4" s="11" t="s">
        <v>25</v>
      </c>
      <c r="D4" s="10" t="s">
        <v>26</v>
      </c>
      <c r="E4" s="11" t="s">
        <v>15</v>
      </c>
      <c r="F4" s="12">
        <v>3737217</v>
      </c>
      <c r="G4" s="12">
        <f>F4*0.8</f>
        <v>2989773.6</v>
      </c>
      <c r="H4" s="10" t="s">
        <v>27</v>
      </c>
      <c r="I4" s="11" t="s">
        <v>28</v>
      </c>
      <c r="J4" s="13">
        <v>3.9</v>
      </c>
      <c r="K4" s="12">
        <v>1216447</v>
      </c>
      <c r="L4" s="14">
        <f>MIN(K4,MAX(0,SUM(G4:G4)-0))/SUM(G4:G4)</f>
        <v>0.40686926929851813</v>
      </c>
    </row>
    <row r="5" spans="1:12" x14ac:dyDescent="0.25">
      <c r="A5" s="3"/>
      <c r="B5" s="4"/>
      <c r="C5" s="5"/>
      <c r="D5" s="4"/>
      <c r="E5" s="5"/>
      <c r="F5" s="6"/>
      <c r="G5" s="6"/>
      <c r="H5" s="4" t="s">
        <v>29</v>
      </c>
      <c r="I5" s="5" t="s">
        <v>30</v>
      </c>
      <c r="J5" s="7">
        <v>84.7</v>
      </c>
      <c r="K5" s="6">
        <v>4081878</v>
      </c>
      <c r="L5" s="8">
        <f>MIN(K5,MAX(0,SUM(G4:G4)-SUM(K$4:K4)))/SUM(G4:G4)</f>
        <v>0.59313073070148192</v>
      </c>
    </row>
    <row r="6" spans="1:12" x14ac:dyDescent="0.25">
      <c r="A6" s="9">
        <v>4</v>
      </c>
      <c r="B6" s="10" t="s">
        <v>31</v>
      </c>
      <c r="C6" s="11" t="s">
        <v>32</v>
      </c>
      <c r="D6" s="10" t="s">
        <v>33</v>
      </c>
      <c r="E6" s="11" t="s">
        <v>34</v>
      </c>
      <c r="F6" s="12">
        <v>1504853</v>
      </c>
      <c r="G6" s="12">
        <f t="shared" ref="G6:G11" si="0">F6*0.8</f>
        <v>1203882.4000000001</v>
      </c>
      <c r="H6" s="10" t="s">
        <v>35</v>
      </c>
      <c r="I6" s="11" t="s">
        <v>36</v>
      </c>
      <c r="J6" s="13">
        <v>14.7</v>
      </c>
      <c r="K6" s="12">
        <v>52255</v>
      </c>
      <c r="L6" s="14">
        <f>MIN(K6,MAX(0,SUM(G6:G9)-0))/SUM(G6:G9)</f>
        <v>6.8451343598157346E-3</v>
      </c>
    </row>
    <row r="7" spans="1:12" x14ac:dyDescent="0.25">
      <c r="A7" s="3"/>
      <c r="B7" s="4"/>
      <c r="C7" s="5"/>
      <c r="D7" s="4" t="s">
        <v>37</v>
      </c>
      <c r="E7" s="5" t="s">
        <v>38</v>
      </c>
      <c r="F7" s="6">
        <v>2057961</v>
      </c>
      <c r="G7" s="6">
        <f t="shared" si="0"/>
        <v>1646368.8</v>
      </c>
      <c r="H7" s="4" t="s">
        <v>39</v>
      </c>
      <c r="I7" s="5" t="s">
        <v>40</v>
      </c>
      <c r="J7" s="7">
        <v>19.2</v>
      </c>
      <c r="K7" s="6">
        <v>4466332</v>
      </c>
      <c r="L7" s="8">
        <f>MIN(K7,MAX(0,SUM(G6:G9)-SUM(K$6:K6)))/SUM(G6:G9)</f>
        <v>0.58506635988028954</v>
      </c>
    </row>
    <row r="8" spans="1:12" x14ac:dyDescent="0.25">
      <c r="A8" s="3"/>
      <c r="B8" s="4"/>
      <c r="C8" s="5"/>
      <c r="D8" s="4" t="s">
        <v>41</v>
      </c>
      <c r="E8" s="5" t="s">
        <v>42</v>
      </c>
      <c r="F8" s="6">
        <v>2989774</v>
      </c>
      <c r="G8" s="6">
        <f t="shared" si="0"/>
        <v>2391819.2000000002</v>
      </c>
      <c r="H8" s="4" t="s">
        <v>43</v>
      </c>
      <c r="I8" s="5" t="s">
        <v>44</v>
      </c>
      <c r="J8" s="7">
        <v>180.8</v>
      </c>
      <c r="K8" s="6">
        <v>102241</v>
      </c>
      <c r="L8" s="8">
        <f>MIN(K8,MAX(0,SUM(G6:G9)-SUM(K$6:K7)))/SUM(G6:G9)</f>
        <v>1.3393041471283524E-2</v>
      </c>
    </row>
    <row r="9" spans="1:12" x14ac:dyDescent="0.25">
      <c r="A9" s="3"/>
      <c r="B9" s="4"/>
      <c r="C9" s="5"/>
      <c r="D9" s="4" t="s">
        <v>45</v>
      </c>
      <c r="E9" s="5" t="s">
        <v>46</v>
      </c>
      <c r="F9" s="6">
        <v>2989774</v>
      </c>
      <c r="G9" s="6">
        <f t="shared" si="0"/>
        <v>2391819.2000000002</v>
      </c>
      <c r="H9" s="4" t="s">
        <v>47</v>
      </c>
      <c r="I9" s="5" t="s">
        <v>48</v>
      </c>
      <c r="J9" s="7">
        <v>205.5</v>
      </c>
      <c r="K9" s="6">
        <v>3610804</v>
      </c>
      <c r="L9" s="8">
        <f>MIN(K9,MAX(0,SUM(G6:G9)-SUM(K$6:K8)))/SUM(G6:G9)</f>
        <v>0.39469546428861119</v>
      </c>
    </row>
    <row r="10" spans="1:12" x14ac:dyDescent="0.25">
      <c r="A10" s="9">
        <v>5</v>
      </c>
      <c r="B10" s="10" t="s">
        <v>49</v>
      </c>
      <c r="C10" s="11" t="s">
        <v>50</v>
      </c>
      <c r="D10" s="10" t="s">
        <v>51</v>
      </c>
      <c r="E10" s="11" t="s">
        <v>52</v>
      </c>
      <c r="F10" s="12">
        <v>3388410</v>
      </c>
      <c r="G10" s="12">
        <f t="shared" si="0"/>
        <v>2710728</v>
      </c>
      <c r="H10" s="10" t="s">
        <v>53</v>
      </c>
      <c r="I10" s="11" t="s">
        <v>54</v>
      </c>
      <c r="J10" s="13">
        <v>325.60000000000002</v>
      </c>
      <c r="K10" s="12">
        <v>7690096</v>
      </c>
      <c r="L10" s="14">
        <f>MIN(K10,MAX(0,SUM(G10:G10)-0))/SUM(G10:G10)</f>
        <v>1</v>
      </c>
    </row>
    <row r="11" spans="1:12" x14ac:dyDescent="0.25">
      <c r="A11" s="9">
        <v>6</v>
      </c>
      <c r="B11" s="10" t="s">
        <v>55</v>
      </c>
      <c r="C11" s="11" t="s">
        <v>56</v>
      </c>
      <c r="D11" s="10" t="s">
        <v>57</v>
      </c>
      <c r="E11" s="11" t="s">
        <v>58</v>
      </c>
      <c r="F11" s="12">
        <v>10962503</v>
      </c>
      <c r="G11" s="12">
        <f t="shared" si="0"/>
        <v>8770002.4000000004</v>
      </c>
      <c r="H11" s="10" t="s">
        <v>59</v>
      </c>
      <c r="I11" s="11" t="s">
        <v>60</v>
      </c>
      <c r="J11" s="13">
        <v>1.1000000000000001</v>
      </c>
      <c r="K11" s="12">
        <v>7211193</v>
      </c>
      <c r="L11" s="14">
        <f>MIN(K11,MAX(0,SUM(G11:G11)-0))/SUM(G11:G11)</f>
        <v>0.82225667349874387</v>
      </c>
    </row>
    <row r="12" spans="1:12" x14ac:dyDescent="0.25">
      <c r="A12" s="3"/>
      <c r="B12" s="4"/>
      <c r="C12" s="5"/>
      <c r="D12" s="4"/>
      <c r="E12" s="5"/>
      <c r="F12" s="6"/>
      <c r="G12" s="6"/>
      <c r="H12" s="4" t="s">
        <v>61</v>
      </c>
      <c r="I12" s="5" t="s">
        <v>62</v>
      </c>
      <c r="J12" s="7">
        <v>77.3</v>
      </c>
      <c r="K12" s="6">
        <v>8329977</v>
      </c>
      <c r="L12" s="8">
        <f>MIN(K12,MAX(0,SUM(G11:G11)-SUM(K$11:K11)))/SUM(G11:G11)</f>
        <v>0.17774332650125618</v>
      </c>
    </row>
    <row r="13" spans="1:12" x14ac:dyDescent="0.25">
      <c r="A13" s="9">
        <v>7</v>
      </c>
      <c r="B13" s="10" t="s">
        <v>63</v>
      </c>
      <c r="C13" s="11" t="s">
        <v>64</v>
      </c>
      <c r="D13" s="10" t="s">
        <v>65</v>
      </c>
      <c r="E13" s="11" t="s">
        <v>66</v>
      </c>
      <c r="F13" s="12">
        <v>10264889</v>
      </c>
      <c r="G13" s="12">
        <f>F13*0.8</f>
        <v>8211911.2000000002</v>
      </c>
      <c r="H13" s="10" t="s">
        <v>67</v>
      </c>
      <c r="I13" s="11" t="s">
        <v>68</v>
      </c>
      <c r="J13" s="13">
        <v>1.6</v>
      </c>
      <c r="K13" s="12">
        <v>9595132</v>
      </c>
      <c r="L13" s="14">
        <f>MIN(K13,MAX(0,SUM(G13:G13)-0))/SUM(G13:G13)</f>
        <v>1</v>
      </c>
    </row>
    <row r="14" spans="1:12" x14ac:dyDescent="0.25">
      <c r="A14" s="9">
        <v>8</v>
      </c>
      <c r="B14" s="10" t="s">
        <v>69</v>
      </c>
      <c r="C14" s="11" t="s">
        <v>70</v>
      </c>
      <c r="D14" s="10" t="s">
        <v>71</v>
      </c>
      <c r="E14" s="11" t="s">
        <v>72</v>
      </c>
      <c r="F14" s="12">
        <v>6477843</v>
      </c>
      <c r="G14" s="12">
        <f>F14*0.8</f>
        <v>5182274.4000000004</v>
      </c>
      <c r="H14" s="10" t="s">
        <v>73</v>
      </c>
      <c r="I14" s="11" t="s">
        <v>74</v>
      </c>
      <c r="J14" s="13">
        <v>3.4</v>
      </c>
      <c r="K14" s="12">
        <v>1262207</v>
      </c>
      <c r="L14" s="14">
        <f>MIN(K14,MAX(0,SUM(G14:G14)-0))/SUM(G14:G14)</f>
        <v>0.24356236327431829</v>
      </c>
    </row>
    <row r="15" spans="1:12" x14ac:dyDescent="0.25">
      <c r="A15" s="3"/>
      <c r="B15" s="4"/>
      <c r="C15" s="5"/>
      <c r="D15" s="4"/>
      <c r="E15" s="5"/>
      <c r="F15" s="6"/>
      <c r="G15" s="6"/>
      <c r="H15" s="4" t="s">
        <v>75</v>
      </c>
      <c r="I15" s="5" t="s">
        <v>76</v>
      </c>
      <c r="J15" s="7">
        <v>302.7</v>
      </c>
      <c r="K15" s="6">
        <v>10737169</v>
      </c>
      <c r="L15" s="8">
        <f>MIN(K15,MAX(0,SUM(G14:G14)-SUM(K$14:K14)))/SUM(G14:G14)</f>
        <v>0.75643763672568165</v>
      </c>
    </row>
    <row r="16" spans="1:12" x14ac:dyDescent="0.25">
      <c r="A16" s="9">
        <v>9</v>
      </c>
      <c r="B16" s="10" t="s">
        <v>77</v>
      </c>
      <c r="C16" s="11" t="s">
        <v>78</v>
      </c>
      <c r="D16" s="10" t="s">
        <v>79</v>
      </c>
      <c r="E16" s="11" t="s">
        <v>80</v>
      </c>
      <c r="F16" s="12">
        <v>4982956</v>
      </c>
      <c r="G16" s="12">
        <f>F16*0.8</f>
        <v>3986364.8000000003</v>
      </c>
      <c r="H16" s="10" t="s">
        <v>81</v>
      </c>
      <c r="I16" s="11" t="s">
        <v>82</v>
      </c>
      <c r="J16" s="13">
        <v>4.8</v>
      </c>
      <c r="K16" s="12">
        <v>10745</v>
      </c>
      <c r="L16" s="14">
        <f>MIN(K16,MAX(0,SUM(G16:G16)-0))/SUM(G16:G16)</f>
        <v>2.6954382097694619E-3</v>
      </c>
    </row>
    <row r="17" spans="1:12" x14ac:dyDescent="0.25">
      <c r="A17" s="3"/>
      <c r="B17" s="4"/>
      <c r="C17" s="5"/>
      <c r="D17" s="4"/>
      <c r="E17" s="5"/>
      <c r="F17" s="6"/>
      <c r="G17" s="6"/>
      <c r="H17" s="4" t="s">
        <v>83</v>
      </c>
      <c r="I17" s="5" t="s">
        <v>84</v>
      </c>
      <c r="J17" s="7">
        <v>69.8</v>
      </c>
      <c r="K17" s="6">
        <v>2827210</v>
      </c>
      <c r="L17" s="8">
        <f>MIN(K17,MAX(0,SUM(G16:G16)-SUM(K$16:K16)))/SUM(G16:G16)</f>
        <v>0.70922008944088599</v>
      </c>
    </row>
    <row r="18" spans="1:12" x14ac:dyDescent="0.25">
      <c r="A18" s="3"/>
      <c r="B18" s="4"/>
      <c r="C18" s="5"/>
      <c r="D18" s="4"/>
      <c r="E18" s="5"/>
      <c r="F18" s="6"/>
      <c r="G18" s="6"/>
      <c r="H18" s="4" t="s">
        <v>85</v>
      </c>
      <c r="I18" s="5" t="s">
        <v>86</v>
      </c>
      <c r="J18" s="7">
        <v>119.6</v>
      </c>
      <c r="K18" s="6">
        <v>15460532</v>
      </c>
      <c r="L18" s="8">
        <f>MIN(K18,MAX(0,SUM(G16:G16)-SUM(K$16:K17)))/SUM(G16:G16)</f>
        <v>0.28808447234934448</v>
      </c>
    </row>
    <row r="19" spans="1:12" x14ac:dyDescent="0.25">
      <c r="A19" s="9">
        <v>10</v>
      </c>
      <c r="B19" s="10" t="s">
        <v>87</v>
      </c>
      <c r="C19" s="11" t="s">
        <v>88</v>
      </c>
      <c r="D19" s="10" t="s">
        <v>89</v>
      </c>
      <c r="E19" s="11" t="s">
        <v>90</v>
      </c>
      <c r="F19" s="12">
        <v>6477843</v>
      </c>
      <c r="G19" s="12">
        <f>F19*0.8</f>
        <v>5182274.4000000004</v>
      </c>
      <c r="H19" s="10" t="s">
        <v>91</v>
      </c>
      <c r="I19" s="11" t="s">
        <v>92</v>
      </c>
      <c r="J19" s="13">
        <v>5.0999999999999996</v>
      </c>
      <c r="K19" s="12">
        <v>8372381</v>
      </c>
      <c r="L19" s="14">
        <f>MIN(K19,MAX(0,SUM(G19:G20)-0))/SUM(G19:G20)</f>
        <v>0.95466119826831519</v>
      </c>
    </row>
    <row r="20" spans="1:12" x14ac:dyDescent="0.25">
      <c r="A20" s="3"/>
      <c r="B20" s="4"/>
      <c r="C20" s="5"/>
      <c r="D20" s="4" t="s">
        <v>93</v>
      </c>
      <c r="E20" s="5" t="s">
        <v>94</v>
      </c>
      <c r="F20" s="6">
        <v>4484660</v>
      </c>
      <c r="G20" s="6">
        <f>F20*0.8</f>
        <v>3587728</v>
      </c>
      <c r="H20" s="4" t="s">
        <v>95</v>
      </c>
      <c r="I20" s="5" t="s">
        <v>96</v>
      </c>
      <c r="J20" s="7">
        <v>416</v>
      </c>
      <c r="K20" s="6">
        <v>3646</v>
      </c>
      <c r="L20" s="8">
        <f>MIN(K20,MAX(0,SUM(G19:G20)-SUM(K$19:K19)))/SUM(G19:G20)</f>
        <v>4.1573534803137567E-4</v>
      </c>
    </row>
    <row r="21" spans="1:12" x14ac:dyDescent="0.25">
      <c r="A21" s="3"/>
      <c r="B21" s="4"/>
      <c r="C21" s="5"/>
      <c r="D21" s="4"/>
      <c r="E21" s="5"/>
      <c r="F21" s="6"/>
      <c r="G21" s="6"/>
      <c r="H21" s="4" t="s">
        <v>97</v>
      </c>
      <c r="I21" s="5" t="s">
        <v>98</v>
      </c>
      <c r="J21" s="7">
        <v>430.7</v>
      </c>
      <c r="K21" s="6">
        <v>5704599</v>
      </c>
      <c r="L21" s="8">
        <f>MIN(K21,MAX(0,SUM(G19:G20)-SUM(K$19:K20)))/SUM(G19:G20)</f>
        <v>4.4923066383653482E-2</v>
      </c>
    </row>
    <row r="22" spans="1:12" x14ac:dyDescent="0.25">
      <c r="A22" s="9">
        <v>11</v>
      </c>
      <c r="B22" s="10" t="s">
        <v>99</v>
      </c>
      <c r="C22" s="11" t="s">
        <v>100</v>
      </c>
      <c r="D22" s="10" t="s">
        <v>101</v>
      </c>
      <c r="E22" s="11" t="s">
        <v>102</v>
      </c>
      <c r="F22" s="12">
        <v>11460799</v>
      </c>
      <c r="G22" s="12">
        <f t="shared" ref="G22:G37" si="1">F22*0.8</f>
        <v>9168639.2000000011</v>
      </c>
      <c r="H22" s="10" t="s">
        <v>103</v>
      </c>
      <c r="I22" s="11" t="s">
        <v>104</v>
      </c>
      <c r="J22" s="13">
        <v>395.9</v>
      </c>
      <c r="K22" s="12">
        <v>10836149</v>
      </c>
      <c r="L22" s="14">
        <f>MIN(K22,MAX(0,SUM(G22:G22)-0))/SUM(G22:G22)</f>
        <v>1</v>
      </c>
    </row>
    <row r="23" spans="1:12" x14ac:dyDescent="0.25">
      <c r="A23" s="9">
        <v>12</v>
      </c>
      <c r="B23" s="10" t="s">
        <v>105</v>
      </c>
      <c r="C23" s="11" t="s">
        <v>106</v>
      </c>
      <c r="D23" s="10" t="s">
        <v>107</v>
      </c>
      <c r="E23" s="11" t="s">
        <v>108</v>
      </c>
      <c r="F23" s="12">
        <v>11211651</v>
      </c>
      <c r="G23" s="12">
        <f t="shared" si="1"/>
        <v>8969320.8000000007</v>
      </c>
      <c r="H23" s="10" t="s">
        <v>109</v>
      </c>
      <c r="I23" s="11" t="s">
        <v>110</v>
      </c>
      <c r="J23" s="13">
        <v>5.5</v>
      </c>
      <c r="K23" s="12">
        <v>9075265</v>
      </c>
      <c r="L23" s="14">
        <f>MIN(K23,MAX(0,SUM(G23:G23)-0))/SUM(G23:G23)</f>
        <v>1</v>
      </c>
    </row>
    <row r="24" spans="1:12" x14ac:dyDescent="0.25">
      <c r="A24" s="9">
        <v>13</v>
      </c>
      <c r="B24" s="10" t="s">
        <v>111</v>
      </c>
      <c r="C24" s="11" t="s">
        <v>112</v>
      </c>
      <c r="D24" s="10" t="s">
        <v>113</v>
      </c>
      <c r="E24" s="11" t="s">
        <v>114</v>
      </c>
      <c r="F24" s="12">
        <v>3009705</v>
      </c>
      <c r="G24" s="12">
        <f t="shared" si="1"/>
        <v>2407764</v>
      </c>
      <c r="H24" s="10" t="s">
        <v>115</v>
      </c>
      <c r="I24" s="11" t="s">
        <v>116</v>
      </c>
      <c r="J24" s="13">
        <v>296.89999999999998</v>
      </c>
      <c r="K24" s="12">
        <v>14003507</v>
      </c>
      <c r="L24" s="14">
        <f>MIN(K24,MAX(0,SUM(G24:G25)-0))/SUM(G24:G25)</f>
        <v>1</v>
      </c>
    </row>
    <row r="25" spans="1:12" x14ac:dyDescent="0.25">
      <c r="A25" s="3"/>
      <c r="B25" s="4"/>
      <c r="C25" s="5"/>
      <c r="D25" s="4" t="s">
        <v>117</v>
      </c>
      <c r="E25" s="5" t="s">
        <v>118</v>
      </c>
      <c r="F25" s="6">
        <v>5266985</v>
      </c>
      <c r="G25" s="6">
        <f t="shared" si="1"/>
        <v>4213588</v>
      </c>
      <c r="H25" s="4"/>
      <c r="I25" s="5"/>
      <c r="J25" s="7"/>
      <c r="K25" s="6"/>
      <c r="L25" s="8"/>
    </row>
    <row r="26" spans="1:12" x14ac:dyDescent="0.25">
      <c r="A26" s="9">
        <v>14</v>
      </c>
      <c r="B26" s="10" t="s">
        <v>119</v>
      </c>
      <c r="C26" s="11" t="s">
        <v>120</v>
      </c>
      <c r="D26" s="10" t="s">
        <v>121</v>
      </c>
      <c r="E26" s="11" t="s">
        <v>122</v>
      </c>
      <c r="F26" s="12">
        <v>4235513</v>
      </c>
      <c r="G26" s="12">
        <f t="shared" si="1"/>
        <v>3388410.4000000004</v>
      </c>
      <c r="H26" s="10" t="s">
        <v>123</v>
      </c>
      <c r="I26" s="11" t="s">
        <v>124</v>
      </c>
      <c r="J26" s="13">
        <v>1.3</v>
      </c>
      <c r="K26" s="12">
        <v>1182450</v>
      </c>
      <c r="L26" s="14">
        <f>MIN(K26,MAX(0,SUM(G26:G27)-0))/SUM(G26:G27)</f>
        <v>0.21651359012106963</v>
      </c>
    </row>
    <row r="27" spans="1:12" x14ac:dyDescent="0.25">
      <c r="A27" s="3"/>
      <c r="B27" s="4"/>
      <c r="C27" s="5"/>
      <c r="D27" s="4" t="s">
        <v>125</v>
      </c>
      <c r="E27" s="5" t="s">
        <v>126</v>
      </c>
      <c r="F27" s="6">
        <v>2591137</v>
      </c>
      <c r="G27" s="6">
        <f t="shared" si="1"/>
        <v>2072909.6</v>
      </c>
      <c r="H27" s="4" t="s">
        <v>127</v>
      </c>
      <c r="I27" s="5" t="s">
        <v>128</v>
      </c>
      <c r="J27" s="7">
        <v>19.8</v>
      </c>
      <c r="K27" s="6">
        <v>9041881</v>
      </c>
      <c r="L27" s="8">
        <f>MIN(K27,MAX(0,SUM(G26:G27)-SUM(K$26:K26)))/SUM(G26:G27)</f>
        <v>0.78348640987893037</v>
      </c>
    </row>
    <row r="28" spans="1:12" x14ac:dyDescent="0.25">
      <c r="A28" s="9">
        <v>15</v>
      </c>
      <c r="B28" s="10" t="s">
        <v>129</v>
      </c>
      <c r="C28" s="11" t="s">
        <v>130</v>
      </c>
      <c r="D28" s="10" t="s">
        <v>131</v>
      </c>
      <c r="E28" s="11" t="s">
        <v>132</v>
      </c>
      <c r="F28" s="12">
        <v>3383427</v>
      </c>
      <c r="G28" s="12">
        <f t="shared" si="1"/>
        <v>2706741.6</v>
      </c>
      <c r="H28" s="10" t="s">
        <v>29</v>
      </c>
      <c r="I28" s="11" t="s">
        <v>30</v>
      </c>
      <c r="J28" s="13">
        <v>1.7</v>
      </c>
      <c r="K28" s="12">
        <v>4081878</v>
      </c>
      <c r="L28" s="14">
        <f>MIN(K28,MAX(0,SUM(G28:G28)-0))/SUM(G28:G28)</f>
        <v>1</v>
      </c>
    </row>
    <row r="29" spans="1:12" x14ac:dyDescent="0.25">
      <c r="A29" s="9">
        <v>16</v>
      </c>
      <c r="B29" s="10" t="s">
        <v>133</v>
      </c>
      <c r="C29" s="11" t="s">
        <v>134</v>
      </c>
      <c r="D29" s="10" t="s">
        <v>135</v>
      </c>
      <c r="E29" s="11" t="s">
        <v>136</v>
      </c>
      <c r="F29" s="12">
        <v>9965912</v>
      </c>
      <c r="G29" s="12">
        <f t="shared" si="1"/>
        <v>7972729.6000000006</v>
      </c>
      <c r="H29" s="10" t="s">
        <v>137</v>
      </c>
      <c r="I29" s="11" t="s">
        <v>138</v>
      </c>
      <c r="J29" s="13">
        <v>1.8</v>
      </c>
      <c r="K29" s="12">
        <v>921238</v>
      </c>
      <c r="L29" s="14">
        <f>MIN(K29,MAX(0,SUM(G29:G30)-0))/SUM(G29:G30)</f>
        <v>5.7774316088683102E-2</v>
      </c>
    </row>
    <row r="30" spans="1:12" x14ac:dyDescent="0.25">
      <c r="A30" s="3"/>
      <c r="B30" s="4"/>
      <c r="C30" s="5"/>
      <c r="D30" s="4" t="s">
        <v>139</v>
      </c>
      <c r="E30" s="5" t="s">
        <v>140</v>
      </c>
      <c r="F30" s="6">
        <v>9965912</v>
      </c>
      <c r="G30" s="6">
        <f t="shared" si="1"/>
        <v>7972729.6000000006</v>
      </c>
      <c r="H30" s="4" t="s">
        <v>141</v>
      </c>
      <c r="I30" s="5" t="s">
        <v>142</v>
      </c>
      <c r="J30" s="7">
        <v>5.0999999999999996</v>
      </c>
      <c r="K30" s="6">
        <v>64173052</v>
      </c>
      <c r="L30" s="8">
        <f>MIN(K30,MAX(0,SUM(G29:G30)-SUM(K$29:K29)))/SUM(G29:G30)</f>
        <v>0.94222568391131689</v>
      </c>
    </row>
    <row r="31" spans="1:12" x14ac:dyDescent="0.25">
      <c r="A31" s="9">
        <v>17</v>
      </c>
      <c r="B31" s="10" t="s">
        <v>143</v>
      </c>
      <c r="C31" s="11" t="s">
        <v>144</v>
      </c>
      <c r="D31" s="10" t="s">
        <v>145</v>
      </c>
      <c r="E31" s="11" t="s">
        <v>108</v>
      </c>
      <c r="F31" s="12">
        <v>398636</v>
      </c>
      <c r="G31" s="12">
        <f t="shared" si="1"/>
        <v>318908.80000000005</v>
      </c>
      <c r="H31" s="10" t="s">
        <v>61</v>
      </c>
      <c r="I31" s="11" t="s">
        <v>62</v>
      </c>
      <c r="J31" s="13">
        <v>2.2999999999999998</v>
      </c>
      <c r="K31" s="12">
        <v>8329977</v>
      </c>
      <c r="L31" s="14">
        <f>MIN(K31,MAX(0,SUM(G31:G31)-0))/SUM(G31:G31)</f>
        <v>1</v>
      </c>
    </row>
    <row r="32" spans="1:12" x14ac:dyDescent="0.25">
      <c r="A32" s="9">
        <v>18</v>
      </c>
      <c r="B32" s="10" t="s">
        <v>146</v>
      </c>
      <c r="C32" s="11" t="s">
        <v>147</v>
      </c>
      <c r="D32" s="10" t="s">
        <v>148</v>
      </c>
      <c r="E32" s="11" t="s">
        <v>149</v>
      </c>
      <c r="F32" s="12">
        <v>6869453</v>
      </c>
      <c r="G32" s="12">
        <f t="shared" si="1"/>
        <v>5495562.4000000004</v>
      </c>
      <c r="H32" s="10" t="s">
        <v>75</v>
      </c>
      <c r="I32" s="11" t="s">
        <v>76</v>
      </c>
      <c r="J32" s="13">
        <v>0.6</v>
      </c>
      <c r="K32" s="12">
        <v>10737169</v>
      </c>
      <c r="L32" s="14">
        <f>MIN(K32,MAX(0,SUM(G32:G33)-0))/SUM(G32:G33)</f>
        <v>1</v>
      </c>
    </row>
    <row r="33" spans="1:12" x14ac:dyDescent="0.25">
      <c r="A33" s="3"/>
      <c r="B33" s="4"/>
      <c r="C33" s="5"/>
      <c r="D33" s="4" t="s">
        <v>150</v>
      </c>
      <c r="E33" s="5" t="s">
        <v>151</v>
      </c>
      <c r="F33" s="6">
        <v>5531081</v>
      </c>
      <c r="G33" s="6">
        <f t="shared" si="1"/>
        <v>4424864.8</v>
      </c>
      <c r="H33" s="4"/>
      <c r="I33" s="5"/>
      <c r="J33" s="7"/>
      <c r="K33" s="6"/>
      <c r="L33" s="8"/>
    </row>
    <row r="34" spans="1:12" x14ac:dyDescent="0.25">
      <c r="A34" s="9">
        <v>19</v>
      </c>
      <c r="B34" s="10" t="s">
        <v>152</v>
      </c>
      <c r="C34" s="11" t="s">
        <v>153</v>
      </c>
      <c r="D34" s="10" t="s">
        <v>154</v>
      </c>
      <c r="E34" s="11" t="s">
        <v>90</v>
      </c>
      <c r="F34" s="12">
        <v>7474434</v>
      </c>
      <c r="G34" s="12">
        <f t="shared" si="1"/>
        <v>5979547.2000000002</v>
      </c>
      <c r="H34" s="10" t="s">
        <v>155</v>
      </c>
      <c r="I34" s="11" t="s">
        <v>156</v>
      </c>
      <c r="J34" s="13">
        <v>9.1999999999999993</v>
      </c>
      <c r="K34" s="12">
        <v>671490</v>
      </c>
      <c r="L34" s="14">
        <f>MIN(K34,MAX(0,SUM(G34:G35)-0))/SUM(G34:G35)</f>
        <v>9.6808453829335242E-2</v>
      </c>
    </row>
    <row r="35" spans="1:12" x14ac:dyDescent="0.25">
      <c r="A35" s="3"/>
      <c r="B35" s="4"/>
      <c r="C35" s="5"/>
      <c r="D35" s="4" t="s">
        <v>157</v>
      </c>
      <c r="E35" s="5" t="s">
        <v>94</v>
      </c>
      <c r="F35" s="6">
        <v>1195909</v>
      </c>
      <c r="G35" s="6">
        <f t="shared" si="1"/>
        <v>956727.20000000007</v>
      </c>
      <c r="H35" s="4" t="s">
        <v>158</v>
      </c>
      <c r="I35" s="5" t="s">
        <v>159</v>
      </c>
      <c r="J35" s="7">
        <v>9.9</v>
      </c>
      <c r="K35" s="6">
        <v>7851306</v>
      </c>
      <c r="L35" s="8">
        <f>MIN(K35,MAX(0,SUM(G34:G35)-SUM(K$34:K34)))/SUM(G34:G35)</f>
        <v>0.90319154617066477</v>
      </c>
    </row>
    <row r="36" spans="1:12" x14ac:dyDescent="0.25">
      <c r="A36" s="9">
        <v>20</v>
      </c>
      <c r="B36" s="10" t="s">
        <v>160</v>
      </c>
      <c r="C36" s="11" t="s">
        <v>161</v>
      </c>
      <c r="D36" s="10" t="s">
        <v>162</v>
      </c>
      <c r="E36" s="11" t="s">
        <v>163</v>
      </c>
      <c r="F36" s="12">
        <v>12457390</v>
      </c>
      <c r="G36" s="12">
        <f t="shared" si="1"/>
        <v>9965912</v>
      </c>
      <c r="H36" s="10" t="s">
        <v>103</v>
      </c>
      <c r="I36" s="11" t="s">
        <v>104</v>
      </c>
      <c r="J36" s="13">
        <v>187.3</v>
      </c>
      <c r="K36" s="12">
        <v>10836149</v>
      </c>
      <c r="L36" s="14">
        <f>MIN(K36,MAX(0,SUM(G36:G36)-0))/SUM(G36:G36)</f>
        <v>1</v>
      </c>
    </row>
    <row r="37" spans="1:12" x14ac:dyDescent="0.25">
      <c r="A37" s="9">
        <v>21</v>
      </c>
      <c r="B37" s="10" t="s">
        <v>164</v>
      </c>
      <c r="C37" s="11" t="s">
        <v>165</v>
      </c>
      <c r="D37" s="10" t="s">
        <v>166</v>
      </c>
      <c r="E37" s="11" t="s">
        <v>167</v>
      </c>
      <c r="F37" s="12">
        <v>1494887</v>
      </c>
      <c r="G37" s="12">
        <f t="shared" si="1"/>
        <v>1195909.6000000001</v>
      </c>
      <c r="H37" s="10" t="s">
        <v>155</v>
      </c>
      <c r="I37" s="11" t="s">
        <v>156</v>
      </c>
      <c r="J37" s="13">
        <v>1.3</v>
      </c>
      <c r="K37" s="12">
        <v>671490</v>
      </c>
      <c r="L37" s="14">
        <f>MIN(K37,MAX(0,SUM(G37:G37)-0))/SUM(G37:G37)</f>
        <v>0.56148892859460275</v>
      </c>
    </row>
    <row r="38" spans="1:12" x14ac:dyDescent="0.25">
      <c r="A38" s="3"/>
      <c r="B38" s="4"/>
      <c r="C38" s="5"/>
      <c r="D38" s="4"/>
      <c r="E38" s="5"/>
      <c r="F38" s="6"/>
      <c r="G38" s="6"/>
      <c r="H38" s="4" t="s">
        <v>158</v>
      </c>
      <c r="I38" s="5" t="s">
        <v>159</v>
      </c>
      <c r="J38" s="7">
        <v>1.9</v>
      </c>
      <c r="K38" s="6">
        <v>7851306</v>
      </c>
      <c r="L38" s="8">
        <f>MIN(K38,MAX(0,SUM(G37:G37)-SUM(K$37:K37)))/SUM(G37:G37)</f>
        <v>0.43851107140539725</v>
      </c>
    </row>
    <row r="39" spans="1:12" x14ac:dyDescent="0.25">
      <c r="A39" s="9">
        <v>22</v>
      </c>
      <c r="B39" s="10" t="s">
        <v>168</v>
      </c>
      <c r="C39" s="11" t="s">
        <v>169</v>
      </c>
      <c r="D39" s="10" t="s">
        <v>170</v>
      </c>
      <c r="E39" s="11" t="s">
        <v>171</v>
      </c>
      <c r="F39" s="12">
        <v>5979547</v>
      </c>
      <c r="G39" s="12">
        <f>F39*0.8</f>
        <v>4783637.6000000006</v>
      </c>
      <c r="H39" s="10" t="s">
        <v>172</v>
      </c>
      <c r="I39" s="11" t="s">
        <v>173</v>
      </c>
      <c r="J39" s="13">
        <v>189.6</v>
      </c>
      <c r="K39" s="12">
        <v>151859</v>
      </c>
      <c r="L39" s="14">
        <f>MIN(K39,MAX(0,SUM(G39:G39)-0))/SUM(G39:G39)</f>
        <v>3.1745506808458897E-2</v>
      </c>
    </row>
    <row r="40" spans="1:12" x14ac:dyDescent="0.25">
      <c r="A40" s="3"/>
      <c r="B40" s="4"/>
      <c r="C40" s="5"/>
      <c r="D40" s="4"/>
      <c r="E40" s="5"/>
      <c r="F40" s="6"/>
      <c r="G40" s="6"/>
      <c r="H40" s="4" t="s">
        <v>137</v>
      </c>
      <c r="I40" s="5" t="s">
        <v>138</v>
      </c>
      <c r="J40" s="7">
        <v>192.2</v>
      </c>
      <c r="K40" s="6">
        <v>921238</v>
      </c>
      <c r="L40" s="8">
        <f>MIN(K40,MAX(0,SUM(G39:G39)-SUM(K$39:K39)))/SUM(G39:G39)</f>
        <v>0.19258106007026951</v>
      </c>
    </row>
    <row r="41" spans="1:12" x14ac:dyDescent="0.25">
      <c r="A41" s="3"/>
      <c r="B41" s="4"/>
      <c r="C41" s="5"/>
      <c r="D41" s="4"/>
      <c r="E41" s="5"/>
      <c r="F41" s="6"/>
      <c r="G41" s="6"/>
      <c r="H41" s="4" t="s">
        <v>141</v>
      </c>
      <c r="I41" s="5" t="s">
        <v>142</v>
      </c>
      <c r="J41" s="7">
        <v>195</v>
      </c>
      <c r="K41" s="6">
        <v>64173052</v>
      </c>
      <c r="L41" s="8">
        <f>MIN(K41,MAX(0,SUM(G39:G39)-SUM(K$39:K40)))/SUM(G39:G39)</f>
        <v>0.77567343312127157</v>
      </c>
    </row>
    <row r="42" spans="1:12" x14ac:dyDescent="0.25">
      <c r="A42" s="9">
        <v>23</v>
      </c>
      <c r="B42" s="10" t="s">
        <v>174</v>
      </c>
      <c r="C42" s="11" t="s">
        <v>175</v>
      </c>
      <c r="D42" s="10" t="s">
        <v>176</v>
      </c>
      <c r="E42" s="11" t="s">
        <v>15</v>
      </c>
      <c r="F42" s="12">
        <v>1395228</v>
      </c>
      <c r="G42" s="12">
        <f>F42*0.8</f>
        <v>1116182.4000000001</v>
      </c>
      <c r="H42" s="10" t="s">
        <v>177</v>
      </c>
      <c r="I42" s="11" t="s">
        <v>178</v>
      </c>
      <c r="J42" s="13">
        <v>558.70000000000005</v>
      </c>
      <c r="K42" s="12">
        <v>143826</v>
      </c>
      <c r="L42" s="14">
        <f>MIN(K42,MAX(0,SUM(G42:G42)-0))/SUM(G42:G42)</f>
        <v>0.12885528386758291</v>
      </c>
    </row>
    <row r="43" spans="1:12" x14ac:dyDescent="0.25">
      <c r="A43" s="3"/>
      <c r="B43" s="4"/>
      <c r="C43" s="5"/>
      <c r="D43" s="4"/>
      <c r="E43" s="5"/>
      <c r="F43" s="6"/>
      <c r="G43" s="6"/>
      <c r="H43" s="4" t="s">
        <v>179</v>
      </c>
      <c r="I43" s="5" t="s">
        <v>180</v>
      </c>
      <c r="J43" s="7">
        <v>559.29999999999995</v>
      </c>
      <c r="K43" s="6">
        <v>37538991</v>
      </c>
      <c r="L43" s="8">
        <f>MIN(K43,MAX(0,SUM(G42:G42)-SUM(K$42:K42)))/SUM(G42:G42)</f>
        <v>0.87114471613241706</v>
      </c>
    </row>
    <row r="44" spans="1:12" x14ac:dyDescent="0.25">
      <c r="A44" s="9">
        <v>24</v>
      </c>
      <c r="B44" s="10" t="s">
        <v>181</v>
      </c>
      <c r="C44" s="11" t="s">
        <v>182</v>
      </c>
      <c r="D44" s="10" t="s">
        <v>183</v>
      </c>
      <c r="E44" s="11" t="s">
        <v>184</v>
      </c>
      <c r="F44" s="12">
        <v>9517446</v>
      </c>
      <c r="G44" s="12">
        <f>F44*0.8</f>
        <v>7613956.8000000007</v>
      </c>
      <c r="H44" s="10" t="s">
        <v>137</v>
      </c>
      <c r="I44" s="11" t="s">
        <v>138</v>
      </c>
      <c r="J44" s="13">
        <v>1.5</v>
      </c>
      <c r="K44" s="12">
        <v>921238</v>
      </c>
      <c r="L44" s="14">
        <f>MIN(K44,MAX(0,SUM(G44:G44)-0))/SUM(G44:G44)</f>
        <v>0.12099333161438477</v>
      </c>
    </row>
    <row r="45" spans="1:12" x14ac:dyDescent="0.25">
      <c r="A45" s="3"/>
      <c r="B45" s="4"/>
      <c r="C45" s="5"/>
      <c r="D45" s="4"/>
      <c r="E45" s="5"/>
      <c r="F45" s="6"/>
      <c r="G45" s="6"/>
      <c r="H45" s="4" t="s">
        <v>141</v>
      </c>
      <c r="I45" s="5" t="s">
        <v>142</v>
      </c>
      <c r="J45" s="7">
        <v>4.2</v>
      </c>
      <c r="K45" s="6">
        <v>64173052</v>
      </c>
      <c r="L45" s="8">
        <f>MIN(K45,MAX(0,SUM(G44:G44)-SUM(K$44:K44)))/SUM(G44:G44)</f>
        <v>0.87900666838561525</v>
      </c>
    </row>
    <row r="46" spans="1:12" x14ac:dyDescent="0.25">
      <c r="A46" s="9">
        <v>25</v>
      </c>
      <c r="B46" s="10" t="s">
        <v>185</v>
      </c>
      <c r="C46" s="11" t="s">
        <v>186</v>
      </c>
      <c r="D46" s="10" t="s">
        <v>187</v>
      </c>
      <c r="E46" s="11" t="s">
        <v>188</v>
      </c>
      <c r="F46" s="12">
        <v>5830059</v>
      </c>
      <c r="G46" s="12">
        <f>F46*0.8</f>
        <v>4664047.2</v>
      </c>
      <c r="H46" s="10" t="s">
        <v>189</v>
      </c>
      <c r="I46" s="11" t="s">
        <v>190</v>
      </c>
      <c r="J46" s="13">
        <v>324.2</v>
      </c>
      <c r="K46" s="12">
        <v>6134936</v>
      </c>
      <c r="L46" s="14">
        <f>MIN(K46,MAX(0,SUM(G46:G46)-0))/SUM(G46:G46)</f>
        <v>1</v>
      </c>
    </row>
    <row r="47" spans="1:12" x14ac:dyDescent="0.25">
      <c r="A47" s="9">
        <v>26</v>
      </c>
      <c r="B47" s="10" t="s">
        <v>191</v>
      </c>
      <c r="C47" s="11" t="s">
        <v>192</v>
      </c>
      <c r="D47" s="10" t="s">
        <v>193</v>
      </c>
      <c r="E47" s="11" t="s">
        <v>194</v>
      </c>
      <c r="F47" s="12">
        <v>6976138</v>
      </c>
      <c r="G47" s="12">
        <f>F47*0.8</f>
        <v>5580910.4000000004</v>
      </c>
      <c r="H47" s="10" t="s">
        <v>189</v>
      </c>
      <c r="I47" s="11" t="s">
        <v>190</v>
      </c>
      <c r="J47" s="13">
        <v>298.89999999999998</v>
      </c>
      <c r="K47" s="12">
        <v>6134936</v>
      </c>
      <c r="L47" s="14">
        <f>MIN(K47,MAX(0,SUM(G47:G47)-0))/SUM(G47:G47)</f>
        <v>1</v>
      </c>
    </row>
    <row r="48" spans="1:12" x14ac:dyDescent="0.25">
      <c r="A48" s="9">
        <v>27</v>
      </c>
      <c r="B48" s="10" t="s">
        <v>195</v>
      </c>
      <c r="C48" s="11" t="s">
        <v>196</v>
      </c>
      <c r="D48" s="10" t="s">
        <v>197</v>
      </c>
      <c r="E48" s="11" t="s">
        <v>90</v>
      </c>
      <c r="F48" s="12">
        <v>3687387</v>
      </c>
      <c r="G48" s="12">
        <f>F48*0.8</f>
        <v>2949909.6</v>
      </c>
      <c r="H48" s="10" t="s">
        <v>198</v>
      </c>
      <c r="I48" s="11" t="s">
        <v>199</v>
      </c>
      <c r="J48" s="13">
        <v>183.6</v>
      </c>
      <c r="K48" s="12">
        <v>5692623</v>
      </c>
      <c r="L48" s="14">
        <f>MIN(K48,MAX(0,SUM(G48:G49)-0))/SUM(G48:G49)</f>
        <v>0.65807542189439494</v>
      </c>
    </row>
    <row r="49" spans="1:12" x14ac:dyDescent="0.25">
      <c r="A49" s="3"/>
      <c r="B49" s="4"/>
      <c r="C49" s="5"/>
      <c r="D49" s="4" t="s">
        <v>200</v>
      </c>
      <c r="E49" s="5" t="s">
        <v>94</v>
      </c>
      <c r="F49" s="6">
        <v>7125627</v>
      </c>
      <c r="G49" s="6">
        <f>F49*0.8</f>
        <v>5700501.6000000006</v>
      </c>
      <c r="H49" s="4" t="s">
        <v>81</v>
      </c>
      <c r="I49" s="5" t="s">
        <v>82</v>
      </c>
      <c r="J49" s="7">
        <v>289.3</v>
      </c>
      <c r="K49" s="6">
        <v>10745</v>
      </c>
      <c r="L49" s="8">
        <f>MIN(K49,MAX(0,SUM(G48:G49)-SUM(K$48:K48)))/SUM(G48:G49)</f>
        <v>1.2421374835915313E-3</v>
      </c>
    </row>
    <row r="50" spans="1:12" x14ac:dyDescent="0.25">
      <c r="A50" s="3"/>
      <c r="B50" s="4"/>
      <c r="C50" s="5"/>
      <c r="D50" s="4"/>
      <c r="E50" s="5"/>
      <c r="F50" s="6"/>
      <c r="G50" s="6"/>
      <c r="H50" s="4" t="s">
        <v>201</v>
      </c>
      <c r="I50" s="5" t="s">
        <v>202</v>
      </c>
      <c r="J50" s="7">
        <v>304.60000000000002</v>
      </c>
      <c r="K50" s="6">
        <v>90419</v>
      </c>
      <c r="L50" s="8">
        <f>MIN(K50,MAX(0,SUM(G48:G49)-SUM(K$48:K49)))/SUM(G48:G49)</f>
        <v>1.045256669417056E-2</v>
      </c>
    </row>
    <row r="51" spans="1:12" x14ac:dyDescent="0.25">
      <c r="A51" s="3"/>
      <c r="B51" s="4"/>
      <c r="C51" s="5"/>
      <c r="D51" s="4"/>
      <c r="E51" s="5"/>
      <c r="F51" s="6"/>
      <c r="G51" s="6"/>
      <c r="H51" s="4" t="s">
        <v>177</v>
      </c>
      <c r="I51" s="5" t="s">
        <v>178</v>
      </c>
      <c r="J51" s="7">
        <v>325.3</v>
      </c>
      <c r="K51" s="6">
        <v>143826</v>
      </c>
      <c r="L51" s="8">
        <f>MIN(K51,MAX(0,SUM(G48:G49)-SUM(K$48:K50)))/SUM(G48:G49)</f>
        <v>1.6626492853888841E-2</v>
      </c>
    </row>
    <row r="52" spans="1:12" x14ac:dyDescent="0.25">
      <c r="A52" s="3"/>
      <c r="B52" s="4"/>
      <c r="C52" s="5"/>
      <c r="D52" s="4"/>
      <c r="E52" s="5"/>
      <c r="F52" s="6"/>
      <c r="G52" s="6"/>
      <c r="H52" s="4" t="s">
        <v>179</v>
      </c>
      <c r="I52" s="5" t="s">
        <v>180</v>
      </c>
      <c r="J52" s="7">
        <v>328.7</v>
      </c>
      <c r="K52" s="6">
        <v>37538991</v>
      </c>
      <c r="L52" s="8">
        <f>MIN(K52,MAX(0,SUM(G48:G49)-SUM(K$48:K51)))/SUM(G48:G49)</f>
        <v>0.31360338107395413</v>
      </c>
    </row>
    <row r="53" spans="1:12" x14ac:dyDescent="0.25">
      <c r="A53" s="9">
        <v>28</v>
      </c>
      <c r="B53" s="10" t="s">
        <v>203</v>
      </c>
      <c r="C53" s="11" t="s">
        <v>204</v>
      </c>
      <c r="D53" s="10" t="s">
        <v>205</v>
      </c>
      <c r="E53" s="11" t="s">
        <v>206</v>
      </c>
      <c r="F53" s="12">
        <v>3488069</v>
      </c>
      <c r="G53" s="12">
        <f t="shared" ref="G53:G65" si="2">F53*0.8</f>
        <v>2790455.2</v>
      </c>
      <c r="H53" s="10" t="s">
        <v>207</v>
      </c>
      <c r="I53" s="11" t="s">
        <v>208</v>
      </c>
      <c r="J53" s="13">
        <v>294.89999999999998</v>
      </c>
      <c r="K53" s="12">
        <v>40943147</v>
      </c>
      <c r="L53" s="14">
        <f>MIN(K53,MAX(0,SUM(G53:G53)-0))/SUM(G53:G53)</f>
        <v>1</v>
      </c>
    </row>
    <row r="54" spans="1:12" x14ac:dyDescent="0.25">
      <c r="A54" s="9">
        <v>29</v>
      </c>
      <c r="B54" s="10" t="s">
        <v>209</v>
      </c>
      <c r="C54" s="11" t="s">
        <v>210</v>
      </c>
      <c r="D54" s="10" t="s">
        <v>211</v>
      </c>
      <c r="E54" s="11" t="s">
        <v>212</v>
      </c>
      <c r="F54" s="12">
        <v>3373212</v>
      </c>
      <c r="G54" s="12">
        <f t="shared" si="2"/>
        <v>2698569.6</v>
      </c>
      <c r="H54" s="10" t="s">
        <v>213</v>
      </c>
      <c r="I54" s="11" t="s">
        <v>214</v>
      </c>
      <c r="J54" s="13">
        <v>488.8</v>
      </c>
      <c r="K54" s="12">
        <v>5709416</v>
      </c>
      <c r="L54" s="14">
        <f>MIN(K54,MAX(0,SUM(G54:G55)-0))/SUM(G54:G55)</f>
        <v>1</v>
      </c>
    </row>
    <row r="55" spans="1:12" x14ac:dyDescent="0.25">
      <c r="A55" s="3"/>
      <c r="B55" s="4"/>
      <c r="C55" s="5"/>
      <c r="D55" s="4" t="s">
        <v>215</v>
      </c>
      <c r="E55" s="5" t="s">
        <v>216</v>
      </c>
      <c r="F55" s="6">
        <v>1460255</v>
      </c>
      <c r="G55" s="6">
        <f t="shared" si="2"/>
        <v>1168204</v>
      </c>
      <c r="H55" s="4"/>
      <c r="I55" s="5"/>
      <c r="J55" s="7"/>
      <c r="K55" s="6"/>
      <c r="L55" s="8"/>
    </row>
    <row r="56" spans="1:12" x14ac:dyDescent="0.25">
      <c r="A56" s="9">
        <v>30</v>
      </c>
      <c r="B56" s="10" t="s">
        <v>217</v>
      </c>
      <c r="C56" s="11" t="s">
        <v>218</v>
      </c>
      <c r="D56" s="10" t="s">
        <v>219</v>
      </c>
      <c r="E56" s="11" t="s">
        <v>220</v>
      </c>
      <c r="F56" s="12">
        <v>3737217</v>
      </c>
      <c r="G56" s="12">
        <f t="shared" si="2"/>
        <v>2989773.6</v>
      </c>
      <c r="H56" s="10" t="s">
        <v>172</v>
      </c>
      <c r="I56" s="11" t="s">
        <v>173</v>
      </c>
      <c r="J56" s="13">
        <v>377.2</v>
      </c>
      <c r="K56" s="12">
        <v>151859</v>
      </c>
      <c r="L56" s="14">
        <f>MIN(K56,MAX(0,SUM(G56:G58)-0))/SUM(G56:G58)</f>
        <v>1.1964386515541797E-2</v>
      </c>
    </row>
    <row r="57" spans="1:12" x14ac:dyDescent="0.25">
      <c r="A57" s="3"/>
      <c r="B57" s="4"/>
      <c r="C57" s="5"/>
      <c r="D57" s="4" t="s">
        <v>221</v>
      </c>
      <c r="E57" s="5" t="s">
        <v>222</v>
      </c>
      <c r="F57" s="6">
        <v>6682144</v>
      </c>
      <c r="G57" s="6">
        <f t="shared" si="2"/>
        <v>5345715.2</v>
      </c>
      <c r="H57" s="4" t="s">
        <v>137</v>
      </c>
      <c r="I57" s="5" t="s">
        <v>138</v>
      </c>
      <c r="J57" s="7">
        <v>424.3</v>
      </c>
      <c r="K57" s="6">
        <v>921238</v>
      </c>
      <c r="L57" s="8">
        <f>MIN(K57,MAX(0,SUM(G56:G58)-SUM(K$56:K56)))/SUM(G56:G58)</f>
        <v>7.2580798667215604E-2</v>
      </c>
    </row>
    <row r="58" spans="1:12" x14ac:dyDescent="0.25">
      <c r="A58" s="3"/>
      <c r="B58" s="4"/>
      <c r="C58" s="5"/>
      <c r="D58" s="4" t="s">
        <v>223</v>
      </c>
      <c r="E58" s="5" t="s">
        <v>224</v>
      </c>
      <c r="F58" s="6">
        <v>5446371</v>
      </c>
      <c r="G58" s="6">
        <f t="shared" si="2"/>
        <v>4357096.8</v>
      </c>
      <c r="H58" s="4" t="s">
        <v>141</v>
      </c>
      <c r="I58" s="5" t="s">
        <v>142</v>
      </c>
      <c r="J58" s="7">
        <v>428.2</v>
      </c>
      <c r="K58" s="6">
        <v>64173052</v>
      </c>
      <c r="L58" s="8">
        <f>MIN(K58,MAX(0,SUM(G56:G58)-SUM(K$56:K57)))/SUM(G56:G58)</f>
        <v>0.91545481481724256</v>
      </c>
    </row>
    <row r="59" spans="1:12" x14ac:dyDescent="0.25">
      <c r="A59" s="9">
        <v>31</v>
      </c>
      <c r="B59" s="10" t="s">
        <v>225</v>
      </c>
      <c r="C59" s="11" t="s">
        <v>226</v>
      </c>
      <c r="D59" s="10" t="s">
        <v>227</v>
      </c>
      <c r="E59" s="11" t="s">
        <v>228</v>
      </c>
      <c r="F59" s="12">
        <v>1529768</v>
      </c>
      <c r="G59" s="12">
        <f t="shared" si="2"/>
        <v>1223814.4000000001</v>
      </c>
      <c r="H59" s="10" t="s">
        <v>213</v>
      </c>
      <c r="I59" s="11" t="s">
        <v>214</v>
      </c>
      <c r="J59" s="13">
        <v>404.4</v>
      </c>
      <c r="K59" s="12">
        <v>5709416</v>
      </c>
      <c r="L59" s="14">
        <f>MIN(K59,MAX(0,SUM(G59:G61)-0))/SUM(G59:G61)</f>
        <v>0.89514758432807828</v>
      </c>
    </row>
    <row r="60" spans="1:12" x14ac:dyDescent="0.25">
      <c r="A60" s="3"/>
      <c r="B60" s="4"/>
      <c r="C60" s="5"/>
      <c r="D60" s="4" t="s">
        <v>229</v>
      </c>
      <c r="E60" s="5" t="s">
        <v>230</v>
      </c>
      <c r="F60" s="6">
        <v>2840285</v>
      </c>
      <c r="G60" s="6">
        <f t="shared" si="2"/>
        <v>2272228</v>
      </c>
      <c r="H60" s="4" t="s">
        <v>207</v>
      </c>
      <c r="I60" s="5" t="s">
        <v>208</v>
      </c>
      <c r="J60" s="7">
        <v>433.5</v>
      </c>
      <c r="K60" s="6">
        <v>40943147</v>
      </c>
      <c r="L60" s="8">
        <f>MIN(K60,MAX(0,SUM(G59:G61)-SUM(K$59:K59)))/SUM(G59:G61)</f>
        <v>0.10485241567192166</v>
      </c>
    </row>
    <row r="61" spans="1:12" x14ac:dyDescent="0.25">
      <c r="A61" s="3"/>
      <c r="B61" s="4"/>
      <c r="C61" s="5"/>
      <c r="D61" s="4" t="s">
        <v>231</v>
      </c>
      <c r="E61" s="5" t="s">
        <v>232</v>
      </c>
      <c r="F61" s="6">
        <v>3602677</v>
      </c>
      <c r="G61" s="6">
        <f t="shared" si="2"/>
        <v>2882141.6</v>
      </c>
      <c r="H61" s="4"/>
      <c r="I61" s="5"/>
      <c r="J61" s="7"/>
      <c r="K61" s="6"/>
      <c r="L61" s="8"/>
    </row>
    <row r="62" spans="1:12" x14ac:dyDescent="0.25">
      <c r="A62" s="9">
        <v>32</v>
      </c>
      <c r="B62" s="10" t="s">
        <v>233</v>
      </c>
      <c r="C62" s="11" t="s">
        <v>234</v>
      </c>
      <c r="D62" s="10" t="s">
        <v>235</v>
      </c>
      <c r="E62" s="11" t="s">
        <v>90</v>
      </c>
      <c r="F62" s="12">
        <v>3762132</v>
      </c>
      <c r="G62" s="12">
        <f t="shared" si="2"/>
        <v>3009705.6</v>
      </c>
      <c r="H62" s="10" t="s">
        <v>207</v>
      </c>
      <c r="I62" s="11" t="s">
        <v>208</v>
      </c>
      <c r="J62" s="13">
        <v>393</v>
      </c>
      <c r="K62" s="12">
        <v>40943147</v>
      </c>
      <c r="L62" s="14">
        <f>MIN(K62,MAX(0,SUM(G62:G63)-0))/SUM(G62:G63)</f>
        <v>1</v>
      </c>
    </row>
    <row r="63" spans="1:12" x14ac:dyDescent="0.25">
      <c r="A63" s="3"/>
      <c r="B63" s="4"/>
      <c r="C63" s="5"/>
      <c r="D63" s="4" t="s">
        <v>236</v>
      </c>
      <c r="E63" s="5" t="s">
        <v>94</v>
      </c>
      <c r="F63" s="6">
        <v>1719120</v>
      </c>
      <c r="G63" s="6">
        <f t="shared" si="2"/>
        <v>1375296</v>
      </c>
      <c r="H63" s="4"/>
      <c r="I63" s="5"/>
      <c r="J63" s="7"/>
      <c r="K63" s="6"/>
      <c r="L63" s="8"/>
    </row>
    <row r="64" spans="1:12" x14ac:dyDescent="0.25">
      <c r="A64" s="9">
        <v>33</v>
      </c>
      <c r="B64" s="10" t="s">
        <v>237</v>
      </c>
      <c r="C64" s="11" t="s">
        <v>238</v>
      </c>
      <c r="D64" s="10" t="s">
        <v>239</v>
      </c>
      <c r="E64" s="11" t="s">
        <v>240</v>
      </c>
      <c r="F64" s="12">
        <v>330220</v>
      </c>
      <c r="G64" s="12">
        <f t="shared" si="2"/>
        <v>264176</v>
      </c>
      <c r="H64" s="10" t="s">
        <v>241</v>
      </c>
      <c r="I64" s="11" t="s">
        <v>242</v>
      </c>
      <c r="J64" s="13">
        <v>456.1</v>
      </c>
      <c r="K64" s="12">
        <v>28743</v>
      </c>
      <c r="L64" s="14">
        <f>MIN(K64,MAX(0,SUM(G64:G65)-0))/SUM(G64:G65)</f>
        <v>3.2753405588419493E-2</v>
      </c>
    </row>
    <row r="65" spans="1:12" x14ac:dyDescent="0.25">
      <c r="A65" s="3"/>
      <c r="B65" s="4"/>
      <c r="C65" s="5"/>
      <c r="D65" s="4" t="s">
        <v>243</v>
      </c>
      <c r="E65" s="5" t="s">
        <v>244</v>
      </c>
      <c r="F65" s="6">
        <v>766727</v>
      </c>
      <c r="G65" s="6">
        <f t="shared" si="2"/>
        <v>613381.6</v>
      </c>
      <c r="H65" s="4" t="s">
        <v>245</v>
      </c>
      <c r="I65" s="5" t="s">
        <v>246</v>
      </c>
      <c r="J65" s="7">
        <v>470.2</v>
      </c>
      <c r="K65" s="6">
        <v>413867</v>
      </c>
      <c r="L65" s="8">
        <f>MIN(K65,MAX(0,SUM(G64:G65)-SUM(K$64:K64)))/SUM(G64:G65)</f>
        <v>0.47161234772509519</v>
      </c>
    </row>
    <row r="66" spans="1:12" x14ac:dyDescent="0.25">
      <c r="A66" s="3"/>
      <c r="B66" s="4"/>
      <c r="C66" s="5"/>
      <c r="D66" s="4"/>
      <c r="E66" s="5"/>
      <c r="F66" s="6"/>
      <c r="G66" s="6"/>
      <c r="H66" s="4" t="s">
        <v>247</v>
      </c>
      <c r="I66" s="5" t="s">
        <v>248</v>
      </c>
      <c r="J66" s="7">
        <v>1028</v>
      </c>
      <c r="K66" s="6">
        <v>9476257</v>
      </c>
      <c r="L66" s="8">
        <f>MIN(K66,MAX(0,SUM(G64:G65)-SUM(K$64:K65)))/SUM(G64:G65)</f>
        <v>0.49563424668648531</v>
      </c>
    </row>
    <row r="67" spans="1:12" x14ac:dyDescent="0.25">
      <c r="A67" s="9">
        <v>34</v>
      </c>
      <c r="B67" s="10" t="s">
        <v>249</v>
      </c>
      <c r="C67" s="11" t="s">
        <v>250</v>
      </c>
      <c r="D67" s="10" t="s">
        <v>251</v>
      </c>
      <c r="E67" s="11" t="s">
        <v>15</v>
      </c>
      <c r="F67" s="12">
        <v>360218</v>
      </c>
      <c r="G67" s="12">
        <f>F67*0.8</f>
        <v>288174.40000000002</v>
      </c>
      <c r="H67" s="10" t="s">
        <v>177</v>
      </c>
      <c r="I67" s="11" t="s">
        <v>178</v>
      </c>
      <c r="J67" s="13">
        <v>473</v>
      </c>
      <c r="K67" s="12">
        <v>143826</v>
      </c>
      <c r="L67" s="14">
        <f>MIN(K67,MAX(0,SUM(G67:G67)-0))/SUM(G67:G67)</f>
        <v>0.49909360442842943</v>
      </c>
    </row>
    <row r="68" spans="1:12" x14ac:dyDescent="0.25">
      <c r="A68" s="3"/>
      <c r="B68" s="4"/>
      <c r="C68" s="5"/>
      <c r="D68" s="4"/>
      <c r="E68" s="5"/>
      <c r="F68" s="6"/>
      <c r="G68" s="6"/>
      <c r="H68" s="4" t="s">
        <v>179</v>
      </c>
      <c r="I68" s="5" t="s">
        <v>180</v>
      </c>
      <c r="J68" s="7">
        <v>474.4</v>
      </c>
      <c r="K68" s="6">
        <v>37538991</v>
      </c>
      <c r="L68" s="8">
        <f>MIN(K68,MAX(0,SUM(G67:G67)-SUM(K$67:K67)))/SUM(G67:G67)</f>
        <v>0.50090639557157057</v>
      </c>
    </row>
    <row r="69" spans="1:12" x14ac:dyDescent="0.25">
      <c r="A69" s="9">
        <v>35</v>
      </c>
      <c r="B69" s="10" t="s">
        <v>252</v>
      </c>
      <c r="C69" s="11" t="s">
        <v>253</v>
      </c>
      <c r="D69" s="10" t="s">
        <v>254</v>
      </c>
      <c r="E69" s="11" t="s">
        <v>255</v>
      </c>
      <c r="F69" s="12">
        <v>1694205</v>
      </c>
      <c r="G69" s="12">
        <f t="shared" ref="G69:G74" si="3">F69*0.8</f>
        <v>1355364</v>
      </c>
      <c r="H69" s="10" t="s">
        <v>53</v>
      </c>
      <c r="I69" s="11" t="s">
        <v>54</v>
      </c>
      <c r="J69" s="13">
        <v>19.5</v>
      </c>
      <c r="K69" s="12">
        <v>7690096</v>
      </c>
      <c r="L69" s="14">
        <f>MIN(K69,MAX(0,SUM(G69:G69)-0))/SUM(G69:G69)</f>
        <v>1</v>
      </c>
    </row>
    <row r="70" spans="1:12" x14ac:dyDescent="0.25">
      <c r="A70" s="9">
        <v>36</v>
      </c>
      <c r="B70" s="10" t="s">
        <v>256</v>
      </c>
      <c r="C70" s="11" t="s">
        <v>257</v>
      </c>
      <c r="D70" s="10" t="s">
        <v>258</v>
      </c>
      <c r="E70" s="11" t="s">
        <v>259</v>
      </c>
      <c r="F70" s="12">
        <v>2038029</v>
      </c>
      <c r="G70" s="12">
        <f t="shared" si="3"/>
        <v>1630423.2000000002</v>
      </c>
      <c r="H70" s="10" t="s">
        <v>247</v>
      </c>
      <c r="I70" s="11" t="s">
        <v>248</v>
      </c>
      <c r="J70" s="13">
        <v>0.7</v>
      </c>
      <c r="K70" s="12">
        <v>9476257</v>
      </c>
      <c r="L70" s="14">
        <f>MIN(K70,MAX(0,SUM(G70:G72)-0))/SUM(G70:G72)</f>
        <v>1</v>
      </c>
    </row>
    <row r="71" spans="1:12" x14ac:dyDescent="0.25">
      <c r="A71" s="3"/>
      <c r="B71" s="4"/>
      <c r="C71" s="5"/>
      <c r="D71" s="4" t="s">
        <v>260</v>
      </c>
      <c r="E71" s="5" t="s">
        <v>261</v>
      </c>
      <c r="F71" s="6">
        <v>4982956</v>
      </c>
      <c r="G71" s="6">
        <f t="shared" si="3"/>
        <v>3986364.8000000003</v>
      </c>
      <c r="H71" s="4"/>
      <c r="I71" s="5"/>
      <c r="J71" s="7"/>
      <c r="K71" s="6"/>
      <c r="L71" s="8"/>
    </row>
    <row r="72" spans="1:12" x14ac:dyDescent="0.25">
      <c r="A72" s="3"/>
      <c r="B72" s="4"/>
      <c r="C72" s="5"/>
      <c r="D72" s="4" t="s">
        <v>262</v>
      </c>
      <c r="E72" s="5" t="s">
        <v>263</v>
      </c>
      <c r="F72" s="6">
        <v>4230530</v>
      </c>
      <c r="G72" s="6">
        <f t="shared" si="3"/>
        <v>3384424</v>
      </c>
      <c r="H72" s="4"/>
      <c r="I72" s="5"/>
      <c r="J72" s="7"/>
      <c r="K72" s="6"/>
      <c r="L72" s="8"/>
    </row>
    <row r="73" spans="1:12" x14ac:dyDescent="0.25">
      <c r="A73" s="9">
        <v>37</v>
      </c>
      <c r="B73" s="10" t="s">
        <v>264</v>
      </c>
      <c r="C73" s="11" t="s">
        <v>265</v>
      </c>
      <c r="D73" s="10" t="s">
        <v>266</v>
      </c>
      <c r="E73" s="11" t="s">
        <v>267</v>
      </c>
      <c r="F73" s="12">
        <v>7524264</v>
      </c>
      <c r="G73" s="12">
        <f t="shared" si="3"/>
        <v>6019411.2000000002</v>
      </c>
      <c r="H73" s="10" t="s">
        <v>172</v>
      </c>
      <c r="I73" s="11" t="s">
        <v>173</v>
      </c>
      <c r="J73" s="13">
        <v>2</v>
      </c>
      <c r="K73" s="12">
        <v>151859</v>
      </c>
      <c r="L73" s="14">
        <f>MIN(K73,MAX(0,SUM(G73:G74)-0))/SUM(G73:G74)</f>
        <v>1.0523371907365332E-2</v>
      </c>
    </row>
    <row r="74" spans="1:12" x14ac:dyDescent="0.25">
      <c r="A74" s="3"/>
      <c r="B74" s="4"/>
      <c r="C74" s="5"/>
      <c r="D74" s="4" t="s">
        <v>268</v>
      </c>
      <c r="E74" s="5" t="s">
        <v>269</v>
      </c>
      <c r="F74" s="6">
        <v>10514037</v>
      </c>
      <c r="G74" s="6">
        <f t="shared" si="3"/>
        <v>8411229.5999999996</v>
      </c>
      <c r="H74" s="4" t="s">
        <v>137</v>
      </c>
      <c r="I74" s="5" t="s">
        <v>138</v>
      </c>
      <c r="J74" s="7">
        <v>68</v>
      </c>
      <c r="K74" s="6">
        <v>921238</v>
      </c>
      <c r="L74" s="8">
        <f>MIN(K74,MAX(0,SUM(G73:G74)-SUM(K$73:K73)))/SUM(G73:G74)</f>
        <v>6.3839022311469359E-2</v>
      </c>
    </row>
    <row r="75" spans="1:12" x14ac:dyDescent="0.25">
      <c r="A75" s="3"/>
      <c r="B75" s="4"/>
      <c r="C75" s="5"/>
      <c r="D75" s="4"/>
      <c r="E75" s="5"/>
      <c r="F75" s="6"/>
      <c r="G75" s="6"/>
      <c r="H75" s="4" t="s">
        <v>141</v>
      </c>
      <c r="I75" s="5" t="s">
        <v>142</v>
      </c>
      <c r="J75" s="7">
        <v>71.400000000000006</v>
      </c>
      <c r="K75" s="6">
        <v>64173052</v>
      </c>
      <c r="L75" s="8">
        <f>MIN(K75,MAX(0,SUM(G73:G74)-SUM(K$73:K74)))/SUM(G73:G74)</f>
        <v>0.92563760578116527</v>
      </c>
    </row>
    <row r="76" spans="1:12" x14ac:dyDescent="0.25">
      <c r="A76" s="9">
        <v>38</v>
      </c>
      <c r="B76" s="10" t="s">
        <v>270</v>
      </c>
      <c r="C76" s="11" t="s">
        <v>271</v>
      </c>
      <c r="D76" s="10" t="s">
        <v>272</v>
      </c>
      <c r="E76" s="11" t="s">
        <v>273</v>
      </c>
      <c r="F76" s="12">
        <v>3488069</v>
      </c>
      <c r="G76" s="12">
        <f>F76*0.8</f>
        <v>2790455.2</v>
      </c>
      <c r="H76" s="10" t="s">
        <v>172</v>
      </c>
      <c r="I76" s="11" t="s">
        <v>173</v>
      </c>
      <c r="J76" s="13">
        <v>189</v>
      </c>
      <c r="K76" s="12">
        <v>151859</v>
      </c>
      <c r="L76" s="14">
        <f>MIN(K76,MAX(0,SUM(G76:G77)-0))/SUM(G76:G77)</f>
        <v>2.7210435057334014E-2</v>
      </c>
    </row>
    <row r="77" spans="1:12" x14ac:dyDescent="0.25">
      <c r="A77" s="3"/>
      <c r="B77" s="4"/>
      <c r="C77" s="5"/>
      <c r="D77" s="4" t="s">
        <v>274</v>
      </c>
      <c r="E77" s="5" t="s">
        <v>275</v>
      </c>
      <c r="F77" s="6">
        <v>3488069</v>
      </c>
      <c r="G77" s="6">
        <f>F77*0.8</f>
        <v>2790455.2</v>
      </c>
      <c r="H77" s="4" t="s">
        <v>137</v>
      </c>
      <c r="I77" s="5" t="s">
        <v>138</v>
      </c>
      <c r="J77" s="7">
        <v>189.1</v>
      </c>
      <c r="K77" s="6">
        <v>921238</v>
      </c>
      <c r="L77" s="8">
        <f>MIN(K77,MAX(0,SUM(G76:G77)-SUM(K$76:K76)))/SUM(G76:G77)</f>
        <v>0.16506948400390015</v>
      </c>
    </row>
    <row r="78" spans="1:12" x14ac:dyDescent="0.25">
      <c r="A78" s="3"/>
      <c r="B78" s="4"/>
      <c r="C78" s="5"/>
      <c r="D78" s="4"/>
      <c r="E78" s="5"/>
      <c r="F78" s="6"/>
      <c r="G78" s="6"/>
      <c r="H78" s="4" t="s">
        <v>141</v>
      </c>
      <c r="I78" s="5" t="s">
        <v>142</v>
      </c>
      <c r="J78" s="7">
        <v>191.7</v>
      </c>
      <c r="K78" s="6">
        <v>64173052</v>
      </c>
      <c r="L78" s="8">
        <f>MIN(K78,MAX(0,SUM(G76:G77)-SUM(K$76:K77)))/SUM(G76:G77)</f>
        <v>0.80772008093876579</v>
      </c>
    </row>
    <row r="79" spans="1:12" x14ac:dyDescent="0.25">
      <c r="A79" s="9">
        <v>39</v>
      </c>
      <c r="B79" s="10" t="s">
        <v>276</v>
      </c>
      <c r="C79" s="11" t="s">
        <v>277</v>
      </c>
      <c r="D79" s="10" t="s">
        <v>278</v>
      </c>
      <c r="E79" s="11" t="s">
        <v>279</v>
      </c>
      <c r="F79" s="12">
        <v>2690796</v>
      </c>
      <c r="G79" s="12">
        <f t="shared" ref="G79:G84" si="4">F79*0.8</f>
        <v>2152636.8000000003</v>
      </c>
      <c r="H79" s="10" t="s">
        <v>83</v>
      </c>
      <c r="I79" s="11" t="s">
        <v>84</v>
      </c>
      <c r="J79" s="13">
        <v>28.5</v>
      </c>
      <c r="K79" s="12">
        <v>2827210</v>
      </c>
      <c r="L79" s="14">
        <f>MIN(K79,MAX(0,SUM(G79:G80)-0))/SUM(G79:G80)</f>
        <v>0.78802239188701029</v>
      </c>
    </row>
    <row r="80" spans="1:12" x14ac:dyDescent="0.25">
      <c r="A80" s="3"/>
      <c r="B80" s="4"/>
      <c r="C80" s="5"/>
      <c r="D80" s="4" t="s">
        <v>280</v>
      </c>
      <c r="E80" s="5" t="s">
        <v>281</v>
      </c>
      <c r="F80" s="6">
        <v>1793864</v>
      </c>
      <c r="G80" s="6">
        <f t="shared" si="4"/>
        <v>1435091.2000000002</v>
      </c>
      <c r="H80" s="4" t="s">
        <v>85</v>
      </c>
      <c r="I80" s="5" t="s">
        <v>86</v>
      </c>
      <c r="J80" s="7">
        <v>89.7</v>
      </c>
      <c r="K80" s="6">
        <v>15460532</v>
      </c>
      <c r="L80" s="8">
        <f>MIN(K80,MAX(0,SUM(G79:G80)-SUM(K$79:K79)))/SUM(G79:G80)</f>
        <v>0.21197760811298971</v>
      </c>
    </row>
    <row r="81" spans="1:12" x14ac:dyDescent="0.25">
      <c r="A81" s="9">
        <v>40</v>
      </c>
      <c r="B81" s="10" t="s">
        <v>282</v>
      </c>
      <c r="C81" s="11" t="s">
        <v>283</v>
      </c>
      <c r="D81" s="10" t="s">
        <v>284</v>
      </c>
      <c r="E81" s="11" t="s">
        <v>220</v>
      </c>
      <c r="F81" s="12">
        <v>4285342</v>
      </c>
      <c r="G81" s="12">
        <f t="shared" si="4"/>
        <v>3428273.6</v>
      </c>
      <c r="H81" s="10" t="s">
        <v>207</v>
      </c>
      <c r="I81" s="11" t="s">
        <v>208</v>
      </c>
      <c r="J81" s="13">
        <v>383.8</v>
      </c>
      <c r="K81" s="12">
        <v>40943147</v>
      </c>
      <c r="L81" s="14">
        <f>MIN(K81,MAX(0,SUM(G81:G81)-0))/SUM(G81:G81)</f>
        <v>1</v>
      </c>
    </row>
    <row r="82" spans="1:12" x14ac:dyDescent="0.25">
      <c r="A82" s="9">
        <v>41</v>
      </c>
      <c r="B82" s="10" t="s">
        <v>285</v>
      </c>
      <c r="C82" s="11" t="s">
        <v>286</v>
      </c>
      <c r="D82" s="10" t="s">
        <v>287</v>
      </c>
      <c r="E82" s="11" t="s">
        <v>288</v>
      </c>
      <c r="F82" s="12">
        <v>4484660</v>
      </c>
      <c r="G82" s="12">
        <f t="shared" si="4"/>
        <v>3587728</v>
      </c>
      <c r="H82" s="10" t="s">
        <v>213</v>
      </c>
      <c r="I82" s="11" t="s">
        <v>214</v>
      </c>
      <c r="J82" s="13">
        <v>3.2</v>
      </c>
      <c r="K82" s="12">
        <v>5709416</v>
      </c>
      <c r="L82" s="14">
        <f>MIN(K82,MAX(0,SUM(G82:G82)-0))/SUM(G82:G82)</f>
        <v>1</v>
      </c>
    </row>
    <row r="83" spans="1:12" x14ac:dyDescent="0.25">
      <c r="A83" s="9">
        <v>42</v>
      </c>
      <c r="B83" s="10" t="s">
        <v>289</v>
      </c>
      <c r="C83" s="11" t="s">
        <v>290</v>
      </c>
      <c r="D83" s="10" t="s">
        <v>291</v>
      </c>
      <c r="E83" s="11" t="s">
        <v>292</v>
      </c>
      <c r="F83" s="12">
        <v>9965912</v>
      </c>
      <c r="G83" s="12">
        <f t="shared" si="4"/>
        <v>7972729.6000000006</v>
      </c>
      <c r="H83" s="10" t="s">
        <v>293</v>
      </c>
      <c r="I83" s="11" t="s">
        <v>294</v>
      </c>
      <c r="J83" s="13">
        <v>1.2</v>
      </c>
      <c r="K83" s="12">
        <v>1086900</v>
      </c>
      <c r="L83" s="14">
        <f>MIN(K83,MAX(0,SUM(G83:G84)-0))/SUM(G83:G84)</f>
        <v>6.8163606100475296E-2</v>
      </c>
    </row>
    <row r="84" spans="1:12" x14ac:dyDescent="0.25">
      <c r="A84" s="3"/>
      <c r="B84" s="4"/>
      <c r="C84" s="5"/>
      <c r="D84" s="4" t="s">
        <v>295</v>
      </c>
      <c r="E84" s="5" t="s">
        <v>296</v>
      </c>
      <c r="F84" s="6">
        <v>9965912</v>
      </c>
      <c r="G84" s="6">
        <f t="shared" si="4"/>
        <v>7972729.6000000006</v>
      </c>
      <c r="H84" s="4" t="s">
        <v>297</v>
      </c>
      <c r="I84" s="5" t="s">
        <v>298</v>
      </c>
      <c r="J84" s="7">
        <v>2.2999999999999998</v>
      </c>
      <c r="K84" s="6">
        <v>9664014</v>
      </c>
      <c r="L84" s="8">
        <f>MIN(K84,MAX(0,SUM(G83:G84)-SUM(K$83:K83)))/SUM(G83:G84)</f>
        <v>0.60606683562929309</v>
      </c>
    </row>
    <row r="85" spans="1:12" x14ac:dyDescent="0.25">
      <c r="A85" s="3"/>
      <c r="B85" s="4"/>
      <c r="C85" s="5"/>
      <c r="D85" s="4"/>
      <c r="E85" s="5"/>
      <c r="F85" s="6"/>
      <c r="G85" s="6"/>
      <c r="H85" s="4" t="s">
        <v>299</v>
      </c>
      <c r="I85" s="5" t="s">
        <v>300</v>
      </c>
      <c r="J85" s="7">
        <v>6.9</v>
      </c>
      <c r="K85" s="6">
        <v>18985451</v>
      </c>
      <c r="L85" s="8">
        <f>MIN(K85,MAX(0,SUM(G83:G84)-SUM(K$83:K84)))/SUM(G83:G84)</f>
        <v>0.32576955827023163</v>
      </c>
    </row>
    <row r="86" spans="1:12" x14ac:dyDescent="0.25">
      <c r="A86" s="9">
        <v>43</v>
      </c>
      <c r="B86" s="10" t="s">
        <v>301</v>
      </c>
      <c r="C86" s="11" t="s">
        <v>302</v>
      </c>
      <c r="D86" s="10" t="s">
        <v>303</v>
      </c>
      <c r="E86" s="11" t="s">
        <v>15</v>
      </c>
      <c r="F86" s="12">
        <v>9965912</v>
      </c>
      <c r="G86" s="12">
        <f>F86*0.8</f>
        <v>7972729.6000000006</v>
      </c>
      <c r="H86" s="10" t="s">
        <v>59</v>
      </c>
      <c r="I86" s="11" t="s">
        <v>60</v>
      </c>
      <c r="J86" s="13">
        <v>452.1</v>
      </c>
      <c r="K86" s="12">
        <v>7211193</v>
      </c>
      <c r="L86" s="14">
        <f>MIN(K86,MAX(0,SUM(G86:G86)-0))/SUM(G86:G86)</f>
        <v>0.90448232434723475</v>
      </c>
    </row>
    <row r="87" spans="1:12" x14ac:dyDescent="0.25">
      <c r="A87" s="3"/>
      <c r="B87" s="4"/>
      <c r="C87" s="5"/>
      <c r="D87" s="4"/>
      <c r="E87" s="5"/>
      <c r="F87" s="6"/>
      <c r="G87" s="6"/>
      <c r="H87" s="4" t="s">
        <v>61</v>
      </c>
      <c r="I87" s="5" t="s">
        <v>62</v>
      </c>
      <c r="J87" s="7">
        <v>520.9</v>
      </c>
      <c r="K87" s="6">
        <v>8329977</v>
      </c>
      <c r="L87" s="8">
        <f>MIN(K87,MAX(0,SUM(G86:G86)-SUM(K$86:K86)))/SUM(G86:G86)</f>
        <v>9.5517675652765213E-2</v>
      </c>
    </row>
    <row r="88" spans="1:12" x14ac:dyDescent="0.25">
      <c r="A88" s="9">
        <v>44</v>
      </c>
      <c r="B88" s="10" t="s">
        <v>304</v>
      </c>
      <c r="C88" s="11" t="s">
        <v>305</v>
      </c>
      <c r="D88" s="10" t="s">
        <v>306</v>
      </c>
      <c r="E88" s="11" t="s">
        <v>307</v>
      </c>
      <c r="F88" s="12">
        <v>15397334</v>
      </c>
      <c r="G88" s="12">
        <f>F88*0.8</f>
        <v>12317867.200000001</v>
      </c>
      <c r="H88" s="10" t="s">
        <v>172</v>
      </c>
      <c r="I88" s="11" t="s">
        <v>173</v>
      </c>
      <c r="J88" s="13">
        <v>2.6</v>
      </c>
      <c r="K88" s="12">
        <v>151859</v>
      </c>
      <c r="L88" s="14">
        <f>MIN(K88,MAX(0,SUM(G88:G88)-0))/SUM(G88:G88)</f>
        <v>1.2328351778301359E-2</v>
      </c>
    </row>
    <row r="89" spans="1:12" x14ac:dyDescent="0.25">
      <c r="A89" s="3"/>
      <c r="B89" s="4"/>
      <c r="C89" s="5"/>
      <c r="D89" s="4"/>
      <c r="E89" s="5"/>
      <c r="F89" s="6"/>
      <c r="G89" s="6"/>
      <c r="H89" s="4" t="s">
        <v>137</v>
      </c>
      <c r="I89" s="5" t="s">
        <v>138</v>
      </c>
      <c r="J89" s="7">
        <v>69.2</v>
      </c>
      <c r="K89" s="6">
        <v>921238</v>
      </c>
      <c r="L89" s="8">
        <f>MIN(K89,MAX(0,SUM(G88:G88)-SUM(K$88:K88)))/SUM(G88:G88)</f>
        <v>7.4788758885142054E-2</v>
      </c>
    </row>
    <row r="90" spans="1:12" x14ac:dyDescent="0.25">
      <c r="A90" s="3"/>
      <c r="B90" s="4"/>
      <c r="C90" s="5"/>
      <c r="D90" s="4"/>
      <c r="E90" s="5"/>
      <c r="F90" s="6"/>
      <c r="G90" s="6"/>
      <c r="H90" s="4" t="s">
        <v>141</v>
      </c>
      <c r="I90" s="5" t="s">
        <v>142</v>
      </c>
      <c r="J90" s="7">
        <v>72.7</v>
      </c>
      <c r="K90" s="6">
        <v>64173052</v>
      </c>
      <c r="L90" s="8">
        <f>MIN(K90,MAX(0,SUM(G88:G88)-SUM(K$88:K89)))/SUM(G88:G88)</f>
        <v>0.91288288933655659</v>
      </c>
    </row>
    <row r="91" spans="1:12" x14ac:dyDescent="0.25">
      <c r="A91" s="9">
        <v>45</v>
      </c>
      <c r="B91" s="10" t="s">
        <v>308</v>
      </c>
      <c r="C91" s="11" t="s">
        <v>309</v>
      </c>
      <c r="D91" s="10" t="s">
        <v>310</v>
      </c>
      <c r="E91" s="11" t="s">
        <v>90</v>
      </c>
      <c r="F91" s="12">
        <v>80026</v>
      </c>
      <c r="G91" s="12">
        <f t="shared" ref="G91:G111" si="5">F91*0.8</f>
        <v>64020.800000000003</v>
      </c>
      <c r="H91" s="10" t="s">
        <v>35</v>
      </c>
      <c r="I91" s="11" t="s">
        <v>36</v>
      </c>
      <c r="J91" s="13">
        <v>204.1</v>
      </c>
      <c r="K91" s="12">
        <v>52255</v>
      </c>
      <c r="L91" s="14">
        <f>MIN(K91,MAX(0,SUM(G91:G93)-0))/SUM(G91:G93)</f>
        <v>0.17220776584357583</v>
      </c>
    </row>
    <row r="92" spans="1:12" x14ac:dyDescent="0.25">
      <c r="A92" s="3"/>
      <c r="B92" s="4"/>
      <c r="C92" s="5"/>
      <c r="D92" s="4" t="s">
        <v>311</v>
      </c>
      <c r="E92" s="5" t="s">
        <v>94</v>
      </c>
      <c r="F92" s="6">
        <v>219250</v>
      </c>
      <c r="G92" s="6">
        <f t="shared" si="5"/>
        <v>175400</v>
      </c>
      <c r="H92" s="4" t="s">
        <v>39</v>
      </c>
      <c r="I92" s="5" t="s">
        <v>40</v>
      </c>
      <c r="J92" s="7">
        <v>207.6</v>
      </c>
      <c r="K92" s="6">
        <v>4466332</v>
      </c>
      <c r="L92" s="8">
        <f>MIN(K92,MAX(0,SUM(G91:G93)-SUM(K$91:K91)))/SUM(G91:G93)</f>
        <v>0.82779223415642411</v>
      </c>
    </row>
    <row r="93" spans="1:12" x14ac:dyDescent="0.25">
      <c r="A93" s="3"/>
      <c r="B93" s="4"/>
      <c r="C93" s="5"/>
      <c r="D93" s="4" t="s">
        <v>312</v>
      </c>
      <c r="E93" s="5" t="s">
        <v>313</v>
      </c>
      <c r="F93" s="6">
        <v>80026</v>
      </c>
      <c r="G93" s="6">
        <f t="shared" si="5"/>
        <v>64020.800000000003</v>
      </c>
      <c r="H93" s="4"/>
      <c r="I93" s="5"/>
      <c r="J93" s="7"/>
      <c r="K93" s="6"/>
      <c r="L93" s="8"/>
    </row>
    <row r="94" spans="1:12" x14ac:dyDescent="0.25">
      <c r="A94" s="9">
        <v>46</v>
      </c>
      <c r="B94" s="10" t="s">
        <v>314</v>
      </c>
      <c r="C94" s="11" t="s">
        <v>315</v>
      </c>
      <c r="D94" s="10" t="s">
        <v>316</v>
      </c>
      <c r="E94" s="11" t="s">
        <v>317</v>
      </c>
      <c r="F94" s="12">
        <v>5780229</v>
      </c>
      <c r="G94" s="12">
        <f t="shared" si="5"/>
        <v>4624183.2</v>
      </c>
      <c r="H94" s="10" t="s">
        <v>53</v>
      </c>
      <c r="I94" s="11" t="s">
        <v>54</v>
      </c>
      <c r="J94" s="13">
        <v>76.900000000000006</v>
      </c>
      <c r="K94" s="12">
        <v>7690096</v>
      </c>
      <c r="L94" s="14">
        <f>MIN(K94,MAX(0,SUM(G94:G95)-0))/SUM(G94:G95)</f>
        <v>0.78101213196303731</v>
      </c>
    </row>
    <row r="95" spans="1:12" x14ac:dyDescent="0.25">
      <c r="A95" s="3"/>
      <c r="B95" s="4"/>
      <c r="C95" s="5"/>
      <c r="D95" s="4" t="s">
        <v>318</v>
      </c>
      <c r="E95" s="5" t="s">
        <v>319</v>
      </c>
      <c r="F95" s="6">
        <v>6527672</v>
      </c>
      <c r="G95" s="6">
        <f t="shared" si="5"/>
        <v>5222137.6000000006</v>
      </c>
      <c r="H95" s="4" t="s">
        <v>189</v>
      </c>
      <c r="I95" s="5" t="s">
        <v>190</v>
      </c>
      <c r="J95" s="7">
        <v>96.2</v>
      </c>
      <c r="K95" s="6">
        <v>6134936</v>
      </c>
      <c r="L95" s="8">
        <f>MIN(K95,MAX(0,SUM(G94:G95)-SUM(K$94:K94)))/SUM(G94:G95)</f>
        <v>0.21898786803696266</v>
      </c>
    </row>
    <row r="96" spans="1:12" x14ac:dyDescent="0.25">
      <c r="A96" s="9">
        <v>47</v>
      </c>
      <c r="B96" s="10" t="s">
        <v>320</v>
      </c>
      <c r="C96" s="11" t="s">
        <v>321</v>
      </c>
      <c r="D96" s="10" t="s">
        <v>322</v>
      </c>
      <c r="E96" s="11" t="s">
        <v>323</v>
      </c>
      <c r="F96" s="12">
        <v>249148</v>
      </c>
      <c r="G96" s="12">
        <f t="shared" si="5"/>
        <v>199318.40000000002</v>
      </c>
      <c r="H96" s="10" t="s">
        <v>213</v>
      </c>
      <c r="I96" s="11" t="s">
        <v>214</v>
      </c>
      <c r="J96" s="13">
        <v>580.5</v>
      </c>
      <c r="K96" s="12">
        <v>5709416</v>
      </c>
      <c r="L96" s="14">
        <f>MIN(K96,MAX(0,SUM(G96:G96)-0))/SUM(G96:G96)</f>
        <v>1</v>
      </c>
    </row>
    <row r="97" spans="1:12" x14ac:dyDescent="0.25">
      <c r="A97" s="9">
        <v>48</v>
      </c>
      <c r="B97" s="10" t="s">
        <v>324</v>
      </c>
      <c r="C97" s="11" t="s">
        <v>325</v>
      </c>
      <c r="D97" s="10" t="s">
        <v>326</v>
      </c>
      <c r="E97" s="11" t="s">
        <v>327</v>
      </c>
      <c r="F97" s="12">
        <v>3861791</v>
      </c>
      <c r="G97" s="12">
        <f t="shared" si="5"/>
        <v>3089432.8000000003</v>
      </c>
      <c r="H97" s="10" t="s">
        <v>123</v>
      </c>
      <c r="I97" s="11" t="s">
        <v>124</v>
      </c>
      <c r="J97" s="13">
        <v>7.3</v>
      </c>
      <c r="K97" s="12">
        <v>1182450</v>
      </c>
      <c r="L97" s="14">
        <f>MIN(K97,MAX(0,SUM(G97:G98)-0))/SUM(G97:G98)</f>
        <v>0.29662363063209868</v>
      </c>
    </row>
    <row r="98" spans="1:12" x14ac:dyDescent="0.25">
      <c r="A98" s="3"/>
      <c r="B98" s="4"/>
      <c r="C98" s="5"/>
      <c r="D98" s="4" t="s">
        <v>328</v>
      </c>
      <c r="E98" s="5" t="s">
        <v>329</v>
      </c>
      <c r="F98" s="6">
        <v>1121165</v>
      </c>
      <c r="G98" s="6">
        <f t="shared" si="5"/>
        <v>896932</v>
      </c>
      <c r="H98" s="4" t="s">
        <v>127</v>
      </c>
      <c r="I98" s="5" t="s">
        <v>128</v>
      </c>
      <c r="J98" s="7">
        <v>13.3</v>
      </c>
      <c r="K98" s="6">
        <v>9041881</v>
      </c>
      <c r="L98" s="8">
        <f>MIN(K98,MAX(0,SUM(G97:G98)-SUM(K$97:K97)))/SUM(G97:G98)</f>
        <v>0.70337636936790138</v>
      </c>
    </row>
    <row r="99" spans="1:12" x14ac:dyDescent="0.25">
      <c r="A99" s="9">
        <v>49</v>
      </c>
      <c r="B99" s="10" t="s">
        <v>330</v>
      </c>
      <c r="C99" s="11" t="s">
        <v>331</v>
      </c>
      <c r="D99" s="10" t="s">
        <v>332</v>
      </c>
      <c r="E99" s="11" t="s">
        <v>323</v>
      </c>
      <c r="F99" s="12">
        <v>4285342</v>
      </c>
      <c r="G99" s="12">
        <f t="shared" si="5"/>
        <v>3428273.6</v>
      </c>
      <c r="H99" s="10" t="s">
        <v>22</v>
      </c>
      <c r="I99" s="11" t="s">
        <v>23</v>
      </c>
      <c r="J99" s="13">
        <v>221.6</v>
      </c>
      <c r="K99" s="12">
        <v>5666538</v>
      </c>
      <c r="L99" s="14">
        <f>MIN(K99,MAX(0,SUM(G99:G99)-0))/SUM(G99:G99)</f>
        <v>1</v>
      </c>
    </row>
    <row r="100" spans="1:12" x14ac:dyDescent="0.25">
      <c r="A100" s="9">
        <v>50</v>
      </c>
      <c r="B100" s="10" t="s">
        <v>333</v>
      </c>
      <c r="C100" s="11" t="s">
        <v>334</v>
      </c>
      <c r="D100" s="10" t="s">
        <v>335</v>
      </c>
      <c r="E100" s="11" t="s">
        <v>90</v>
      </c>
      <c r="F100" s="12">
        <v>7474434</v>
      </c>
      <c r="G100" s="12">
        <f t="shared" si="5"/>
        <v>5979547.2000000002</v>
      </c>
      <c r="H100" s="10" t="s">
        <v>207</v>
      </c>
      <c r="I100" s="11" t="s">
        <v>208</v>
      </c>
      <c r="J100" s="13">
        <v>348</v>
      </c>
      <c r="K100" s="12">
        <v>40943147</v>
      </c>
      <c r="L100" s="14">
        <f>MIN(K100,MAX(0,SUM(G100:G101)-0))/SUM(G100:G101)</f>
        <v>1</v>
      </c>
    </row>
    <row r="101" spans="1:12" x14ac:dyDescent="0.25">
      <c r="A101" s="3"/>
      <c r="B101" s="4"/>
      <c r="C101" s="5"/>
      <c r="D101" s="4" t="s">
        <v>336</v>
      </c>
      <c r="E101" s="5" t="s">
        <v>94</v>
      </c>
      <c r="F101" s="6">
        <v>2092842</v>
      </c>
      <c r="G101" s="6">
        <f t="shared" si="5"/>
        <v>1674273.6</v>
      </c>
      <c r="H101" s="4"/>
      <c r="I101" s="5"/>
      <c r="J101" s="7"/>
      <c r="K101" s="6"/>
      <c r="L101" s="8"/>
    </row>
    <row r="102" spans="1:12" x14ac:dyDescent="0.25">
      <c r="A102" s="9">
        <v>51</v>
      </c>
      <c r="B102" s="10" t="s">
        <v>337</v>
      </c>
      <c r="C102" s="11" t="s">
        <v>338</v>
      </c>
      <c r="D102" s="10" t="s">
        <v>339</v>
      </c>
      <c r="E102" s="11" t="s">
        <v>340</v>
      </c>
      <c r="F102" s="12">
        <v>3488069</v>
      </c>
      <c r="G102" s="12">
        <f t="shared" si="5"/>
        <v>2790455.2</v>
      </c>
      <c r="H102" s="10" t="s">
        <v>103</v>
      </c>
      <c r="I102" s="11" t="s">
        <v>104</v>
      </c>
      <c r="J102" s="13">
        <v>202.3</v>
      </c>
      <c r="K102" s="12">
        <v>10836149</v>
      </c>
      <c r="L102" s="14">
        <f>MIN(K102,MAX(0,SUM(G102:G103)-0))/SUM(G102:G103)</f>
        <v>1</v>
      </c>
    </row>
    <row r="103" spans="1:12" x14ac:dyDescent="0.25">
      <c r="A103" s="3"/>
      <c r="B103" s="4"/>
      <c r="C103" s="5"/>
      <c r="D103" s="4" t="s">
        <v>341</v>
      </c>
      <c r="E103" s="5" t="s">
        <v>342</v>
      </c>
      <c r="F103" s="6">
        <v>8471025</v>
      </c>
      <c r="G103" s="6">
        <f t="shared" si="5"/>
        <v>6776820</v>
      </c>
      <c r="H103" s="4"/>
      <c r="I103" s="5"/>
      <c r="J103" s="7"/>
      <c r="K103" s="6"/>
      <c r="L103" s="8"/>
    </row>
    <row r="104" spans="1:12" x14ac:dyDescent="0.25">
      <c r="A104" s="9">
        <v>52</v>
      </c>
      <c r="B104" s="10" t="s">
        <v>343</v>
      </c>
      <c r="C104" s="11" t="s">
        <v>344</v>
      </c>
      <c r="D104" s="10" t="s">
        <v>345</v>
      </c>
      <c r="E104" s="11" t="s">
        <v>90</v>
      </c>
      <c r="F104" s="12">
        <v>2506427</v>
      </c>
      <c r="G104" s="12">
        <f t="shared" si="5"/>
        <v>2005141.6</v>
      </c>
      <c r="H104" s="10" t="s">
        <v>97</v>
      </c>
      <c r="I104" s="11" t="s">
        <v>98</v>
      </c>
      <c r="J104" s="13">
        <v>1.1000000000000001</v>
      </c>
      <c r="K104" s="12">
        <v>5704599</v>
      </c>
      <c r="L104" s="14">
        <f>MIN(K104,MAX(0,SUM(G104:G105)-0))/SUM(G104:G105)</f>
        <v>1</v>
      </c>
    </row>
    <row r="105" spans="1:12" x14ac:dyDescent="0.25">
      <c r="A105" s="3"/>
      <c r="B105" s="4"/>
      <c r="C105" s="5"/>
      <c r="D105" s="4" t="s">
        <v>346</v>
      </c>
      <c r="E105" s="5" t="s">
        <v>94</v>
      </c>
      <c r="F105" s="6">
        <v>3448206</v>
      </c>
      <c r="G105" s="6">
        <f t="shared" si="5"/>
        <v>2758564.8000000003</v>
      </c>
      <c r="H105" s="4"/>
      <c r="I105" s="5"/>
      <c r="J105" s="7"/>
      <c r="K105" s="6"/>
      <c r="L105" s="8"/>
    </row>
    <row r="106" spans="1:12" x14ac:dyDescent="0.25">
      <c r="A106" s="9">
        <v>53</v>
      </c>
      <c r="B106" s="10" t="s">
        <v>347</v>
      </c>
      <c r="C106" s="11" t="s">
        <v>348</v>
      </c>
      <c r="D106" s="10" t="s">
        <v>349</v>
      </c>
      <c r="E106" s="11" t="s">
        <v>350</v>
      </c>
      <c r="F106" s="12">
        <v>6976138</v>
      </c>
      <c r="G106" s="12">
        <f t="shared" si="5"/>
        <v>5580910.4000000004</v>
      </c>
      <c r="H106" s="10" t="s">
        <v>351</v>
      </c>
      <c r="I106" s="11" t="s">
        <v>352</v>
      </c>
      <c r="J106" s="13">
        <v>3.8</v>
      </c>
      <c r="K106" s="12">
        <v>2116316</v>
      </c>
      <c r="L106" s="14">
        <f>MIN(K106,MAX(0,SUM(G106:G107)-0))/SUM(G106:G107)</f>
        <v>0.21668926615314471</v>
      </c>
    </row>
    <row r="107" spans="1:12" x14ac:dyDescent="0.25">
      <c r="A107" s="3"/>
      <c r="B107" s="4"/>
      <c r="C107" s="5"/>
      <c r="D107" s="4" t="s">
        <v>353</v>
      </c>
      <c r="E107" s="5" t="s">
        <v>354</v>
      </c>
      <c r="F107" s="6">
        <v>5232104</v>
      </c>
      <c r="G107" s="6">
        <f t="shared" si="5"/>
        <v>4185683.2</v>
      </c>
      <c r="H107" s="4" t="s">
        <v>355</v>
      </c>
      <c r="I107" s="5" t="s">
        <v>356</v>
      </c>
      <c r="J107" s="7">
        <v>26.1</v>
      </c>
      <c r="K107" s="6">
        <v>9586386</v>
      </c>
      <c r="L107" s="8">
        <f>MIN(K107,MAX(0,SUM(G106:G107)-SUM(K$106:K106)))/SUM(G106:G107)</f>
        <v>0.78331073384685534</v>
      </c>
    </row>
    <row r="108" spans="1:12" x14ac:dyDescent="0.25">
      <c r="A108" s="9">
        <v>54</v>
      </c>
      <c r="B108" s="10" t="s">
        <v>357</v>
      </c>
      <c r="C108" s="11" t="s">
        <v>358</v>
      </c>
      <c r="D108" s="10" t="s">
        <v>359</v>
      </c>
      <c r="E108" s="11" t="s">
        <v>360</v>
      </c>
      <c r="F108" s="12">
        <v>747443</v>
      </c>
      <c r="G108" s="12">
        <f t="shared" si="5"/>
        <v>597954.4</v>
      </c>
      <c r="H108" s="10" t="s">
        <v>61</v>
      </c>
      <c r="I108" s="11" t="s">
        <v>62</v>
      </c>
      <c r="J108" s="13">
        <v>0.7</v>
      </c>
      <c r="K108" s="12">
        <v>8329977</v>
      </c>
      <c r="L108" s="14">
        <f>MIN(K108,MAX(0,SUM(G108:G110)-0))/SUM(G108:G110)</f>
        <v>1</v>
      </c>
    </row>
    <row r="109" spans="1:12" x14ac:dyDescent="0.25">
      <c r="A109" s="3"/>
      <c r="B109" s="4"/>
      <c r="C109" s="5"/>
      <c r="D109" s="4" t="s">
        <v>361</v>
      </c>
      <c r="E109" s="5" t="s">
        <v>362</v>
      </c>
      <c r="F109" s="6">
        <v>747443</v>
      </c>
      <c r="G109" s="6">
        <f t="shared" si="5"/>
        <v>597954.4</v>
      </c>
      <c r="H109" s="4"/>
      <c r="I109" s="5"/>
      <c r="J109" s="7"/>
      <c r="K109" s="6"/>
      <c r="L109" s="8"/>
    </row>
    <row r="110" spans="1:12" x14ac:dyDescent="0.25">
      <c r="A110" s="3"/>
      <c r="B110" s="4"/>
      <c r="C110" s="5"/>
      <c r="D110" s="4" t="s">
        <v>363</v>
      </c>
      <c r="E110" s="5" t="s">
        <v>364</v>
      </c>
      <c r="F110" s="6">
        <v>2491478</v>
      </c>
      <c r="G110" s="6">
        <f t="shared" si="5"/>
        <v>1993182.4000000001</v>
      </c>
      <c r="H110" s="4"/>
      <c r="I110" s="5"/>
      <c r="J110" s="7"/>
      <c r="K110" s="6"/>
      <c r="L110" s="8"/>
    </row>
    <row r="111" spans="1:12" x14ac:dyDescent="0.25">
      <c r="A111" s="9">
        <v>55</v>
      </c>
      <c r="B111" s="10" t="s">
        <v>365</v>
      </c>
      <c r="C111" s="11" t="s">
        <v>366</v>
      </c>
      <c r="D111" s="10" t="s">
        <v>367</v>
      </c>
      <c r="E111" s="11" t="s">
        <v>368</v>
      </c>
      <c r="F111" s="12">
        <v>543142</v>
      </c>
      <c r="G111" s="12">
        <f t="shared" si="5"/>
        <v>434513.60000000003</v>
      </c>
      <c r="H111" s="10" t="s">
        <v>369</v>
      </c>
      <c r="I111" s="11" t="s">
        <v>370</v>
      </c>
      <c r="J111" s="13">
        <v>0.2</v>
      </c>
      <c r="K111" s="12">
        <v>51965</v>
      </c>
      <c r="L111" s="14">
        <f>MIN(K111,MAX(0,SUM(G111:G111)-0))/SUM(G111:G111)</f>
        <v>0.11959349488715657</v>
      </c>
    </row>
    <row r="112" spans="1:12" x14ac:dyDescent="0.25">
      <c r="A112" s="3"/>
      <c r="B112" s="4"/>
      <c r="C112" s="5"/>
      <c r="D112" s="4"/>
      <c r="E112" s="5"/>
      <c r="F112" s="6"/>
      <c r="G112" s="6"/>
      <c r="H112" s="4" t="s">
        <v>371</v>
      </c>
      <c r="I112" s="5" t="s">
        <v>372</v>
      </c>
      <c r="J112" s="7">
        <v>129</v>
      </c>
      <c r="K112" s="6">
        <v>106161</v>
      </c>
      <c r="L112" s="8">
        <f>MIN(K112,MAX(0,SUM(G111:G111)-SUM(K$111:K111)))/SUM(G111:G111)</f>
        <v>0.24432146657780099</v>
      </c>
    </row>
    <row r="113" spans="1:12" x14ac:dyDescent="0.25">
      <c r="A113" s="3"/>
      <c r="B113" s="4"/>
      <c r="C113" s="5"/>
      <c r="D113" s="4"/>
      <c r="E113" s="5"/>
      <c r="F113" s="6"/>
      <c r="G113" s="6"/>
      <c r="H113" s="4" t="s">
        <v>373</v>
      </c>
      <c r="I113" s="5" t="s">
        <v>374</v>
      </c>
      <c r="J113" s="7">
        <v>129.69999999999999</v>
      </c>
      <c r="K113" s="6">
        <v>2200061</v>
      </c>
      <c r="L113" s="8">
        <f>MIN(K113,MAX(0,SUM(G111:G111)-SUM(K$111:K112)))/SUM(G111:G111)</f>
        <v>0.63608503853504239</v>
      </c>
    </row>
    <row r="114" spans="1:12" x14ac:dyDescent="0.25">
      <c r="A114" s="9">
        <v>56</v>
      </c>
      <c r="B114" s="10" t="s">
        <v>375</v>
      </c>
      <c r="C114" s="11" t="s">
        <v>376</v>
      </c>
      <c r="D114" s="10" t="s">
        <v>377</v>
      </c>
      <c r="E114" s="11" t="s">
        <v>15</v>
      </c>
      <c r="F114" s="12">
        <v>4634149</v>
      </c>
      <c r="G114" s="12">
        <f t="shared" ref="G114:G121" si="6">F114*0.8</f>
        <v>3707319.2</v>
      </c>
      <c r="H114" s="10" t="s">
        <v>378</v>
      </c>
      <c r="I114" s="11" t="s">
        <v>379</v>
      </c>
      <c r="J114" s="13">
        <v>5.5</v>
      </c>
      <c r="K114" s="12">
        <v>4417971</v>
      </c>
      <c r="L114" s="14">
        <f>MIN(K114,MAX(0,SUM(G114:G114)-0))/SUM(G114:G114)</f>
        <v>1</v>
      </c>
    </row>
    <row r="115" spans="1:12" x14ac:dyDescent="0.25">
      <c r="A115" s="9">
        <v>57</v>
      </c>
      <c r="B115" s="10" t="s">
        <v>380</v>
      </c>
      <c r="C115" s="11" t="s">
        <v>381</v>
      </c>
      <c r="D115" s="10" t="s">
        <v>382</v>
      </c>
      <c r="E115" s="11" t="s">
        <v>383</v>
      </c>
      <c r="F115" s="12">
        <v>6976138</v>
      </c>
      <c r="G115" s="12">
        <f t="shared" si="6"/>
        <v>5580910.4000000004</v>
      </c>
      <c r="H115" s="10" t="s">
        <v>53</v>
      </c>
      <c r="I115" s="11" t="s">
        <v>54</v>
      </c>
      <c r="J115" s="13">
        <v>114.6</v>
      </c>
      <c r="K115" s="12">
        <v>7690096</v>
      </c>
      <c r="L115" s="14">
        <f>MIN(K115,MAX(0,SUM(G115:G115)-0))/SUM(G115:G115)</f>
        <v>1</v>
      </c>
    </row>
    <row r="116" spans="1:12" x14ac:dyDescent="0.25">
      <c r="A116" s="9">
        <v>58</v>
      </c>
      <c r="B116" s="10" t="s">
        <v>384</v>
      </c>
      <c r="C116" s="11" t="s">
        <v>385</v>
      </c>
      <c r="D116" s="10" t="s">
        <v>386</v>
      </c>
      <c r="E116" s="11" t="s">
        <v>387</v>
      </c>
      <c r="F116" s="12">
        <v>3288751</v>
      </c>
      <c r="G116" s="12">
        <f t="shared" si="6"/>
        <v>2631000.8000000003</v>
      </c>
      <c r="H116" s="10" t="s">
        <v>388</v>
      </c>
      <c r="I116" s="11" t="s">
        <v>389</v>
      </c>
      <c r="J116" s="13">
        <v>1.9</v>
      </c>
      <c r="K116" s="12">
        <v>11971005</v>
      </c>
      <c r="L116" s="14">
        <f>MIN(K116,MAX(0,SUM(G116:G118)-0))/SUM(G116:G118)</f>
        <v>1</v>
      </c>
    </row>
    <row r="117" spans="1:12" x14ac:dyDescent="0.25">
      <c r="A117" s="3"/>
      <c r="B117" s="4"/>
      <c r="C117" s="5"/>
      <c r="D117" s="4" t="s">
        <v>390</v>
      </c>
      <c r="E117" s="5" t="s">
        <v>391</v>
      </c>
      <c r="F117" s="6">
        <v>5755314</v>
      </c>
      <c r="G117" s="6">
        <f t="shared" si="6"/>
        <v>4604251.2</v>
      </c>
      <c r="H117" s="4"/>
      <c r="I117" s="5"/>
      <c r="J117" s="7"/>
      <c r="K117" s="6"/>
      <c r="L117" s="8"/>
    </row>
    <row r="118" spans="1:12" x14ac:dyDescent="0.25">
      <c r="A118" s="3"/>
      <c r="B118" s="4"/>
      <c r="C118" s="5"/>
      <c r="D118" s="4" t="s">
        <v>392</v>
      </c>
      <c r="E118" s="5" t="s">
        <v>393</v>
      </c>
      <c r="F118" s="6">
        <v>5904803</v>
      </c>
      <c r="G118" s="6">
        <f t="shared" si="6"/>
        <v>4723842.4000000004</v>
      </c>
      <c r="H118" s="4"/>
      <c r="I118" s="5"/>
      <c r="J118" s="7"/>
      <c r="K118" s="6"/>
      <c r="L118" s="8"/>
    </row>
    <row r="119" spans="1:12" x14ac:dyDescent="0.25">
      <c r="A119" s="9">
        <v>59</v>
      </c>
      <c r="B119" s="10" t="s">
        <v>394</v>
      </c>
      <c r="C119" s="11" t="s">
        <v>395</v>
      </c>
      <c r="D119" s="10" t="s">
        <v>396</v>
      </c>
      <c r="E119" s="11" t="s">
        <v>397</v>
      </c>
      <c r="F119" s="12">
        <v>1744035</v>
      </c>
      <c r="G119" s="12">
        <f t="shared" si="6"/>
        <v>1395228</v>
      </c>
      <c r="H119" s="10" t="s">
        <v>198</v>
      </c>
      <c r="I119" s="11" t="s">
        <v>199</v>
      </c>
      <c r="J119" s="13">
        <v>412.2</v>
      </c>
      <c r="K119" s="12">
        <v>5692623</v>
      </c>
      <c r="L119" s="14">
        <f>MIN(K119,MAX(0,SUM(G119:G120)-0))/SUM(G119:G120)</f>
        <v>1</v>
      </c>
    </row>
    <row r="120" spans="1:12" x14ac:dyDescent="0.25">
      <c r="A120" s="3"/>
      <c r="B120" s="4"/>
      <c r="C120" s="5"/>
      <c r="D120" s="4" t="s">
        <v>398</v>
      </c>
      <c r="E120" s="5" t="s">
        <v>399</v>
      </c>
      <c r="F120" s="6">
        <v>3677422</v>
      </c>
      <c r="G120" s="6">
        <f t="shared" si="6"/>
        <v>2941937.6</v>
      </c>
      <c r="H120" s="4"/>
      <c r="I120" s="5"/>
      <c r="J120" s="7"/>
      <c r="K120" s="6"/>
      <c r="L120" s="8"/>
    </row>
    <row r="121" spans="1:12" x14ac:dyDescent="0.25">
      <c r="A121" s="9">
        <v>60</v>
      </c>
      <c r="B121" s="10" t="s">
        <v>400</v>
      </c>
      <c r="C121" s="11" t="s">
        <v>401</v>
      </c>
      <c r="D121" s="10" t="s">
        <v>402</v>
      </c>
      <c r="E121" s="11" t="s">
        <v>80</v>
      </c>
      <c r="F121" s="12">
        <v>7623923</v>
      </c>
      <c r="G121" s="12">
        <f t="shared" si="6"/>
        <v>6099138.4000000004</v>
      </c>
      <c r="H121" s="10" t="s">
        <v>172</v>
      </c>
      <c r="I121" s="11" t="s">
        <v>173</v>
      </c>
      <c r="J121" s="13">
        <v>46.7</v>
      </c>
      <c r="K121" s="12">
        <v>151859</v>
      </c>
      <c r="L121" s="14">
        <f>MIN(K121,MAX(0,SUM(G121:G121)-0))/SUM(G121:G121)</f>
        <v>2.4898434834664515E-2</v>
      </c>
    </row>
    <row r="122" spans="1:12" x14ac:dyDescent="0.25">
      <c r="A122" s="3"/>
      <c r="B122" s="4"/>
      <c r="C122" s="5"/>
      <c r="D122" s="4"/>
      <c r="E122" s="5"/>
      <c r="F122" s="6"/>
      <c r="G122" s="6"/>
      <c r="H122" s="4" t="s">
        <v>293</v>
      </c>
      <c r="I122" s="5" t="s">
        <v>294</v>
      </c>
      <c r="J122" s="7">
        <v>61.2</v>
      </c>
      <c r="K122" s="6">
        <v>1086900</v>
      </c>
      <c r="L122" s="8">
        <f>MIN(K122,MAX(0,SUM(G121:G121)-SUM(K$121:K121)))/SUM(G121:G121)</f>
        <v>0.17820549866518851</v>
      </c>
    </row>
    <row r="123" spans="1:12" x14ac:dyDescent="0.25">
      <c r="A123" s="3"/>
      <c r="B123" s="4"/>
      <c r="C123" s="5"/>
      <c r="D123" s="4"/>
      <c r="E123" s="5"/>
      <c r="F123" s="6"/>
      <c r="G123" s="6"/>
      <c r="H123" s="4" t="s">
        <v>403</v>
      </c>
      <c r="I123" s="5" t="s">
        <v>404</v>
      </c>
      <c r="J123" s="7">
        <v>62.1</v>
      </c>
      <c r="K123" s="6">
        <v>4175895</v>
      </c>
      <c r="L123" s="8">
        <f>MIN(K123,MAX(0,SUM(G121:G121)-SUM(K$121:K122)))/SUM(G121:G121)</f>
        <v>0.68466965760278531</v>
      </c>
    </row>
    <row r="124" spans="1:12" x14ac:dyDescent="0.25">
      <c r="A124" s="3"/>
      <c r="B124" s="4"/>
      <c r="C124" s="5"/>
      <c r="D124" s="4"/>
      <c r="E124" s="5"/>
      <c r="F124" s="6"/>
      <c r="G124" s="6"/>
      <c r="H124" s="4" t="s">
        <v>299</v>
      </c>
      <c r="I124" s="5" t="s">
        <v>300</v>
      </c>
      <c r="J124" s="7">
        <v>62.2</v>
      </c>
      <c r="K124" s="6">
        <v>18985451</v>
      </c>
      <c r="L124" s="8">
        <f>MIN(K124,MAX(0,SUM(G121:G121)-SUM(K$121:K123)))/SUM(G121:G121)</f>
        <v>0.11222640889736168</v>
      </c>
    </row>
    <row r="125" spans="1:12" x14ac:dyDescent="0.25">
      <c r="A125" s="9">
        <v>61</v>
      </c>
      <c r="B125" s="10" t="s">
        <v>405</v>
      </c>
      <c r="C125" s="11" t="s">
        <v>406</v>
      </c>
      <c r="D125" s="10" t="s">
        <v>407</v>
      </c>
      <c r="E125" s="11" t="s">
        <v>408</v>
      </c>
      <c r="F125" s="12">
        <v>10862844</v>
      </c>
      <c r="G125" s="12">
        <f>F125*0.8</f>
        <v>8690275.2000000011</v>
      </c>
      <c r="H125" s="10" t="s">
        <v>189</v>
      </c>
      <c r="I125" s="11" t="s">
        <v>190</v>
      </c>
      <c r="J125" s="13">
        <v>294.2</v>
      </c>
      <c r="K125" s="12">
        <v>6134936</v>
      </c>
      <c r="L125" s="14">
        <f>MIN(K125,MAX(0,SUM(G125:G125)-0))/SUM(G125:G125)</f>
        <v>0.70595416817179724</v>
      </c>
    </row>
    <row r="126" spans="1:12" x14ac:dyDescent="0.25">
      <c r="A126" s="3"/>
      <c r="B126" s="4"/>
      <c r="C126" s="5"/>
      <c r="D126" s="4"/>
      <c r="E126" s="5"/>
      <c r="F126" s="6"/>
      <c r="G126" s="6"/>
      <c r="H126" s="4" t="s">
        <v>409</v>
      </c>
      <c r="I126" s="5" t="s">
        <v>410</v>
      </c>
      <c r="J126" s="7">
        <v>326.7</v>
      </c>
      <c r="K126" s="6">
        <v>149290</v>
      </c>
      <c r="L126" s="8">
        <f>MIN(K126,MAX(0,SUM(G125:G125)-SUM(K$125:K125)))/SUM(G125:G125)</f>
        <v>1.7178972652097366E-2</v>
      </c>
    </row>
    <row r="127" spans="1:12" x14ac:dyDescent="0.25">
      <c r="A127" s="3"/>
      <c r="B127" s="4"/>
      <c r="C127" s="5"/>
      <c r="D127" s="4"/>
      <c r="E127" s="5"/>
      <c r="F127" s="6"/>
      <c r="G127" s="6"/>
      <c r="H127" s="4" t="s">
        <v>53</v>
      </c>
      <c r="I127" s="5" t="s">
        <v>54</v>
      </c>
      <c r="J127" s="7">
        <v>328.9</v>
      </c>
      <c r="K127" s="6">
        <v>7690096</v>
      </c>
      <c r="L127" s="8">
        <f>MIN(K127,MAX(0,SUM(G125:G125)-SUM(K$125:K126)))/SUM(G125:G125)</f>
        <v>0.27686685917610537</v>
      </c>
    </row>
    <row r="128" spans="1:12" x14ac:dyDescent="0.25">
      <c r="A128" s="9">
        <v>62</v>
      </c>
      <c r="B128" s="10" t="s">
        <v>411</v>
      </c>
      <c r="C128" s="11" t="s">
        <v>412</v>
      </c>
      <c r="D128" s="10" t="s">
        <v>413</v>
      </c>
      <c r="E128" s="11" t="s">
        <v>414</v>
      </c>
      <c r="F128" s="12">
        <v>5979547</v>
      </c>
      <c r="G128" s="12">
        <f>F128*0.8</f>
        <v>4783637.6000000006</v>
      </c>
      <c r="H128" s="10" t="s">
        <v>415</v>
      </c>
      <c r="I128" s="11" t="s">
        <v>416</v>
      </c>
      <c r="J128" s="13">
        <v>4</v>
      </c>
      <c r="K128" s="12">
        <v>6232057</v>
      </c>
      <c r="L128" s="14">
        <f>MIN(K128,MAX(0,SUM(G128:G128)-0))/SUM(G128:G128)</f>
        <v>1</v>
      </c>
    </row>
    <row r="129" spans="1:12" x14ac:dyDescent="0.25">
      <c r="A129" s="9">
        <v>63</v>
      </c>
      <c r="B129" s="10" t="s">
        <v>417</v>
      </c>
      <c r="C129" s="11" t="s">
        <v>418</v>
      </c>
      <c r="D129" s="10" t="s">
        <v>419</v>
      </c>
      <c r="E129" s="11" t="s">
        <v>420</v>
      </c>
      <c r="F129" s="12">
        <v>4509575</v>
      </c>
      <c r="G129" s="12">
        <f>F129*0.8</f>
        <v>3607660</v>
      </c>
      <c r="H129" s="10" t="s">
        <v>421</v>
      </c>
      <c r="I129" s="11" t="s">
        <v>422</v>
      </c>
      <c r="J129" s="13">
        <v>2.1</v>
      </c>
      <c r="K129" s="12">
        <v>11207762</v>
      </c>
      <c r="L129" s="14">
        <f>MIN(K129,MAX(0,SUM(G129:G130)-0))/SUM(G129:G130)</f>
        <v>1</v>
      </c>
    </row>
    <row r="130" spans="1:12" x14ac:dyDescent="0.25">
      <c r="A130" s="3"/>
      <c r="B130" s="4"/>
      <c r="C130" s="5"/>
      <c r="D130" s="4" t="s">
        <v>423</v>
      </c>
      <c r="E130" s="5" t="s">
        <v>424</v>
      </c>
      <c r="F130" s="6">
        <v>7524264</v>
      </c>
      <c r="G130" s="6">
        <f>F130*0.8</f>
        <v>6019411.2000000002</v>
      </c>
      <c r="H130" s="4"/>
      <c r="I130" s="5"/>
      <c r="J130" s="7"/>
      <c r="K130" s="6"/>
      <c r="L130" s="8"/>
    </row>
    <row r="131" spans="1:12" x14ac:dyDescent="0.25">
      <c r="A131" s="9">
        <v>64</v>
      </c>
      <c r="B131" s="10" t="s">
        <v>425</v>
      </c>
      <c r="C131" s="11" t="s">
        <v>426</v>
      </c>
      <c r="D131" s="10" t="s">
        <v>427</v>
      </c>
      <c r="E131" s="11" t="s">
        <v>206</v>
      </c>
      <c r="F131" s="12">
        <v>1445057</v>
      </c>
      <c r="G131" s="12">
        <f>F131*0.8</f>
        <v>1156045.6000000001</v>
      </c>
      <c r="H131" s="10" t="s">
        <v>428</v>
      </c>
      <c r="I131" s="11" t="s">
        <v>429</v>
      </c>
      <c r="J131" s="13">
        <v>0.6</v>
      </c>
      <c r="K131" s="12">
        <v>643771</v>
      </c>
      <c r="L131" s="14">
        <f>MIN(K131,MAX(0,SUM(G131:G131)-0))/SUM(G131:G131)</f>
        <v>0.55687336208883109</v>
      </c>
    </row>
    <row r="132" spans="1:12" x14ac:dyDescent="0.25">
      <c r="A132" s="3"/>
      <c r="B132" s="4"/>
      <c r="C132" s="5"/>
      <c r="D132" s="4"/>
      <c r="E132" s="5"/>
      <c r="F132" s="6"/>
      <c r="G132" s="6"/>
      <c r="H132" s="4" t="s">
        <v>430</v>
      </c>
      <c r="I132" s="5" t="s">
        <v>431</v>
      </c>
      <c r="J132" s="7">
        <v>366.5</v>
      </c>
      <c r="K132" s="6">
        <v>9333213</v>
      </c>
      <c r="L132" s="8">
        <f>MIN(K132,MAX(0,SUM(G131:G131)-SUM(K$131:K131)))/SUM(G131:G131)</f>
        <v>0.44312663791116896</v>
      </c>
    </row>
    <row r="133" spans="1:12" x14ac:dyDescent="0.25">
      <c r="A133" s="9">
        <v>65</v>
      </c>
      <c r="B133" s="10" t="s">
        <v>432</v>
      </c>
      <c r="C133" s="11" t="s">
        <v>433</v>
      </c>
      <c r="D133" s="10" t="s">
        <v>434</v>
      </c>
      <c r="E133" s="11" t="s">
        <v>435</v>
      </c>
      <c r="F133" s="12">
        <v>199318</v>
      </c>
      <c r="G133" s="12">
        <f>F133*0.8</f>
        <v>159454.40000000002</v>
      </c>
      <c r="H133" s="10" t="s">
        <v>213</v>
      </c>
      <c r="I133" s="11" t="s">
        <v>214</v>
      </c>
      <c r="J133" s="13">
        <v>249.4</v>
      </c>
      <c r="K133" s="12">
        <v>5709416</v>
      </c>
      <c r="L133" s="14">
        <f>MIN(K133,MAX(0,SUM(G133:G133)-0))/SUM(G133:G133)</f>
        <v>1</v>
      </c>
    </row>
    <row r="134" spans="1:12" x14ac:dyDescent="0.25">
      <c r="A134" s="9">
        <v>66</v>
      </c>
      <c r="B134" s="10" t="s">
        <v>436</v>
      </c>
      <c r="C134" s="11" t="s">
        <v>437</v>
      </c>
      <c r="D134" s="10" t="s">
        <v>438</v>
      </c>
      <c r="E134" s="11" t="s">
        <v>80</v>
      </c>
      <c r="F134" s="12">
        <v>11959094</v>
      </c>
      <c r="G134" s="12">
        <f>F134*0.8</f>
        <v>9567275.2000000011</v>
      </c>
      <c r="H134" s="10" t="s">
        <v>81</v>
      </c>
      <c r="I134" s="11" t="s">
        <v>82</v>
      </c>
      <c r="J134" s="13">
        <v>284.39999999999998</v>
      </c>
      <c r="K134" s="12">
        <v>10745</v>
      </c>
      <c r="L134" s="14">
        <f>MIN(K134,MAX(0,SUM(G134:G134)-0))/SUM(G134:G134)</f>
        <v>1.1230992916353027E-3</v>
      </c>
    </row>
    <row r="135" spans="1:12" x14ac:dyDescent="0.25">
      <c r="A135" s="3"/>
      <c r="B135" s="4"/>
      <c r="C135" s="5"/>
      <c r="D135" s="4"/>
      <c r="E135" s="5"/>
      <c r="F135" s="6"/>
      <c r="G135" s="6"/>
      <c r="H135" s="4" t="s">
        <v>198</v>
      </c>
      <c r="I135" s="5" t="s">
        <v>199</v>
      </c>
      <c r="J135" s="7">
        <v>318.8</v>
      </c>
      <c r="K135" s="6">
        <v>5692623</v>
      </c>
      <c r="L135" s="8">
        <f>MIN(K135,MAX(0,SUM(G134:G134)-SUM(K$134:K134)))/SUM(G134:G134)</f>
        <v>0.59500985191687594</v>
      </c>
    </row>
    <row r="136" spans="1:12" x14ac:dyDescent="0.25">
      <c r="A136" s="3"/>
      <c r="B136" s="4"/>
      <c r="C136" s="5"/>
      <c r="D136" s="4"/>
      <c r="E136" s="5"/>
      <c r="F136" s="6"/>
      <c r="G136" s="6"/>
      <c r="H136" s="4" t="s">
        <v>83</v>
      </c>
      <c r="I136" s="5" t="s">
        <v>84</v>
      </c>
      <c r="J136" s="7">
        <v>347.6</v>
      </c>
      <c r="K136" s="6">
        <v>2827210</v>
      </c>
      <c r="L136" s="8">
        <f>MIN(K136,MAX(0,SUM(G134:G134)-SUM(K$134:K135)))/SUM(G134:G134)</f>
        <v>0.29550838048434103</v>
      </c>
    </row>
    <row r="137" spans="1:12" x14ac:dyDescent="0.25">
      <c r="A137" s="3"/>
      <c r="B137" s="4"/>
      <c r="C137" s="5"/>
      <c r="D137" s="4"/>
      <c r="E137" s="5"/>
      <c r="F137" s="6"/>
      <c r="G137" s="6"/>
      <c r="H137" s="4" t="s">
        <v>85</v>
      </c>
      <c r="I137" s="5" t="s">
        <v>86</v>
      </c>
      <c r="J137" s="7">
        <v>362.8</v>
      </c>
      <c r="K137" s="6">
        <v>15460532</v>
      </c>
      <c r="L137" s="8">
        <f>MIN(K137,MAX(0,SUM(G134:G134)-SUM(K$134:K136)))/SUM(G134:G134)</f>
        <v>0.10835866830714778</v>
      </c>
    </row>
    <row r="138" spans="1:12" x14ac:dyDescent="0.25">
      <c r="A138" s="9">
        <v>67</v>
      </c>
      <c r="B138" s="10" t="s">
        <v>439</v>
      </c>
      <c r="C138" s="11" t="s">
        <v>440</v>
      </c>
      <c r="D138" s="10" t="s">
        <v>441</v>
      </c>
      <c r="E138" s="11" t="s">
        <v>442</v>
      </c>
      <c r="F138" s="12">
        <v>2391819</v>
      </c>
      <c r="G138" s="12">
        <f>F138*0.8</f>
        <v>1913455.2000000002</v>
      </c>
      <c r="H138" s="10" t="s">
        <v>22</v>
      </c>
      <c r="I138" s="11" t="s">
        <v>23</v>
      </c>
      <c r="J138" s="13">
        <v>218.7</v>
      </c>
      <c r="K138" s="12">
        <v>5666538</v>
      </c>
      <c r="L138" s="14">
        <f>MIN(K138,MAX(0,SUM(G138:G138)-0))/SUM(G138:G138)</f>
        <v>1</v>
      </c>
    </row>
    <row r="139" spans="1:12" x14ac:dyDescent="0.25">
      <c r="A139" s="9">
        <v>68</v>
      </c>
      <c r="B139" s="10" t="s">
        <v>443</v>
      </c>
      <c r="C139" s="11" t="s">
        <v>444</v>
      </c>
      <c r="D139" s="10" t="s">
        <v>445</v>
      </c>
      <c r="E139" s="11" t="s">
        <v>446</v>
      </c>
      <c r="F139" s="12">
        <v>3986365</v>
      </c>
      <c r="G139" s="12">
        <f>F139*0.8</f>
        <v>3189092</v>
      </c>
      <c r="H139" s="10" t="s">
        <v>172</v>
      </c>
      <c r="I139" s="11" t="s">
        <v>173</v>
      </c>
      <c r="J139" s="13">
        <v>189.9</v>
      </c>
      <c r="K139" s="12">
        <v>151859</v>
      </c>
      <c r="L139" s="14">
        <f>MIN(K139,MAX(0,SUM(G139:G140)-0))/SUM(G139:G140)</f>
        <v>2.0049791832517094E-2</v>
      </c>
    </row>
    <row r="140" spans="1:12" x14ac:dyDescent="0.25">
      <c r="A140" s="3"/>
      <c r="B140" s="4"/>
      <c r="C140" s="5"/>
      <c r="D140" s="4" t="s">
        <v>447</v>
      </c>
      <c r="E140" s="5" t="s">
        <v>448</v>
      </c>
      <c r="F140" s="6">
        <v>5481252</v>
      </c>
      <c r="G140" s="6">
        <f>F140*0.8</f>
        <v>4385001.6000000006</v>
      </c>
      <c r="H140" s="4" t="s">
        <v>137</v>
      </c>
      <c r="I140" s="5" t="s">
        <v>138</v>
      </c>
      <c r="J140" s="7">
        <v>217.2</v>
      </c>
      <c r="K140" s="6">
        <v>921238</v>
      </c>
      <c r="L140" s="8">
        <f>MIN(K140,MAX(0,SUM(G139:G140)-SUM(K$139:K139)))/SUM(G139:G140)</f>
        <v>0.12163013142589101</v>
      </c>
    </row>
    <row r="141" spans="1:12" x14ac:dyDescent="0.25">
      <c r="A141" s="3"/>
      <c r="B141" s="4"/>
      <c r="C141" s="5"/>
      <c r="D141" s="4"/>
      <c r="E141" s="5"/>
      <c r="F141" s="6"/>
      <c r="G141" s="6"/>
      <c r="H141" s="4" t="s">
        <v>141</v>
      </c>
      <c r="I141" s="5" t="s">
        <v>142</v>
      </c>
      <c r="J141" s="7">
        <v>220.8</v>
      </c>
      <c r="K141" s="6">
        <v>64173052</v>
      </c>
      <c r="L141" s="8">
        <f>MIN(K141,MAX(0,SUM(G139:G140)-SUM(K$139:K140)))/SUM(G139:G140)</f>
        <v>0.85832007674159194</v>
      </c>
    </row>
    <row r="142" spans="1:12" x14ac:dyDescent="0.25">
      <c r="A142" s="9">
        <v>69</v>
      </c>
      <c r="B142" s="10" t="s">
        <v>449</v>
      </c>
      <c r="C142" s="11" t="s">
        <v>450</v>
      </c>
      <c r="D142" s="10" t="s">
        <v>451</v>
      </c>
      <c r="E142" s="11" t="s">
        <v>452</v>
      </c>
      <c r="F142" s="12">
        <v>6976138</v>
      </c>
      <c r="G142" s="12">
        <f>F142*0.8</f>
        <v>5580910.4000000004</v>
      </c>
      <c r="H142" s="10" t="s">
        <v>453</v>
      </c>
      <c r="I142" s="11" t="s">
        <v>454</v>
      </c>
      <c r="J142" s="13">
        <v>2.5</v>
      </c>
      <c r="K142" s="12">
        <v>7027505</v>
      </c>
      <c r="L142" s="14">
        <f>MIN(K142,MAX(0,SUM(G142:G143)-0))/SUM(G142:G143)</f>
        <v>0.88144278717291502</v>
      </c>
    </row>
    <row r="143" spans="1:12" x14ac:dyDescent="0.25">
      <c r="A143" s="3"/>
      <c r="B143" s="4"/>
      <c r="C143" s="5"/>
      <c r="D143" s="4" t="s">
        <v>455</v>
      </c>
      <c r="E143" s="5" t="s">
        <v>456</v>
      </c>
      <c r="F143" s="6">
        <v>2989774</v>
      </c>
      <c r="G143" s="6">
        <f>F143*0.8</f>
        <v>2391819.2000000002</v>
      </c>
      <c r="H143" s="4" t="s">
        <v>127</v>
      </c>
      <c r="I143" s="5" t="s">
        <v>128</v>
      </c>
      <c r="J143" s="7">
        <v>28.8</v>
      </c>
      <c r="K143" s="6">
        <v>9041881</v>
      </c>
      <c r="L143" s="8">
        <f>MIN(K143,MAX(0,SUM(G142:G143)-SUM(K$142:K142)))/SUM(G142:G143)</f>
        <v>0.11855721282708503</v>
      </c>
    </row>
    <row r="144" spans="1:12" x14ac:dyDescent="0.25">
      <c r="A144" s="9">
        <v>70</v>
      </c>
      <c r="B144" s="10" t="s">
        <v>457</v>
      </c>
      <c r="C144" s="11" t="s">
        <v>458</v>
      </c>
      <c r="D144" s="10" t="s">
        <v>459</v>
      </c>
      <c r="E144" s="11" t="s">
        <v>446</v>
      </c>
      <c r="F144" s="12">
        <v>3134279</v>
      </c>
      <c r="G144" s="12">
        <f>F144*0.8</f>
        <v>2507423.2000000002</v>
      </c>
      <c r="H144" s="10" t="s">
        <v>61</v>
      </c>
      <c r="I144" s="11" t="s">
        <v>62</v>
      </c>
      <c r="J144" s="13">
        <v>3.8</v>
      </c>
      <c r="K144" s="12">
        <v>8329977</v>
      </c>
      <c r="L144" s="14">
        <f>MIN(K144,MAX(0,SUM(G144:G145)-0))/SUM(G144:G145)</f>
        <v>1</v>
      </c>
    </row>
    <row r="145" spans="1:12" x14ac:dyDescent="0.25">
      <c r="A145" s="3"/>
      <c r="B145" s="4"/>
      <c r="C145" s="5"/>
      <c r="D145" s="4" t="s">
        <v>460</v>
      </c>
      <c r="E145" s="5" t="s">
        <v>448</v>
      </c>
      <c r="F145" s="6">
        <v>3134279</v>
      </c>
      <c r="G145" s="6">
        <f>F145*0.8</f>
        <v>2507423.2000000002</v>
      </c>
      <c r="H145" s="4"/>
      <c r="I145" s="5"/>
      <c r="J145" s="7"/>
      <c r="K145" s="6"/>
      <c r="L145" s="8"/>
    </row>
    <row r="146" spans="1:12" x14ac:dyDescent="0.25">
      <c r="A146" s="9">
        <v>71</v>
      </c>
      <c r="B146" s="10" t="s">
        <v>461</v>
      </c>
      <c r="C146" s="11" t="s">
        <v>462</v>
      </c>
      <c r="D146" s="10" t="s">
        <v>463</v>
      </c>
      <c r="E146" s="11" t="s">
        <v>464</v>
      </c>
      <c r="F146" s="12">
        <v>4235513</v>
      </c>
      <c r="G146" s="12">
        <f>F146*0.8</f>
        <v>3388410.4000000004</v>
      </c>
      <c r="H146" s="10" t="s">
        <v>371</v>
      </c>
      <c r="I146" s="11" t="s">
        <v>372</v>
      </c>
      <c r="J146" s="13">
        <v>2.6</v>
      </c>
      <c r="K146" s="12">
        <v>106161</v>
      </c>
      <c r="L146" s="14">
        <f>MIN(K146,MAX(0,SUM(G146:G146)-0))/SUM(G146:G146)</f>
        <v>3.1330620399465187E-2</v>
      </c>
    </row>
    <row r="147" spans="1:12" x14ac:dyDescent="0.25">
      <c r="A147" s="3"/>
      <c r="B147" s="4"/>
      <c r="C147" s="5"/>
      <c r="D147" s="4"/>
      <c r="E147" s="5"/>
      <c r="F147" s="6"/>
      <c r="G147" s="6"/>
      <c r="H147" s="4" t="s">
        <v>373</v>
      </c>
      <c r="I147" s="5" t="s">
        <v>374</v>
      </c>
      <c r="J147" s="7">
        <v>16.399999999999999</v>
      </c>
      <c r="K147" s="6">
        <v>2200061</v>
      </c>
      <c r="L147" s="8">
        <f>MIN(K147,MAX(0,SUM(G146:G146)-SUM(K$146:K146)))/SUM(G146:G146)</f>
        <v>0.64929000335968745</v>
      </c>
    </row>
    <row r="148" spans="1:12" x14ac:dyDescent="0.25">
      <c r="A148" s="3"/>
      <c r="B148" s="4"/>
      <c r="C148" s="5"/>
      <c r="D148" s="4"/>
      <c r="E148" s="5"/>
      <c r="F148" s="6"/>
      <c r="G148" s="6"/>
      <c r="H148" s="4" t="s">
        <v>369</v>
      </c>
      <c r="I148" s="5" t="s">
        <v>370</v>
      </c>
      <c r="J148" s="7">
        <v>129.19999999999999</v>
      </c>
      <c r="K148" s="6">
        <v>51965</v>
      </c>
      <c r="L148" s="8">
        <f>MIN(K148,MAX(0,SUM(G146:G146)-SUM(K$146:K147)))/SUM(G146:G146)</f>
        <v>1.5336099782954271E-2</v>
      </c>
    </row>
    <row r="149" spans="1:12" x14ac:dyDescent="0.25">
      <c r="A149" s="3"/>
      <c r="B149" s="4"/>
      <c r="C149" s="5"/>
      <c r="D149" s="4"/>
      <c r="E149" s="5"/>
      <c r="F149" s="6"/>
      <c r="G149" s="6"/>
      <c r="H149" s="4" t="s">
        <v>213</v>
      </c>
      <c r="I149" s="5" t="s">
        <v>214</v>
      </c>
      <c r="J149" s="7">
        <v>203.7</v>
      </c>
      <c r="K149" s="6">
        <v>5709416</v>
      </c>
      <c r="L149" s="8">
        <f>MIN(K149,MAX(0,SUM(G146:G146)-SUM(K$146:K148)))/SUM(G146:G146)</f>
        <v>0.30404327645789314</v>
      </c>
    </row>
    <row r="150" spans="1:12" x14ac:dyDescent="0.25">
      <c r="A150" s="9">
        <v>72</v>
      </c>
      <c r="B150" s="10" t="s">
        <v>465</v>
      </c>
      <c r="C150" s="11" t="s">
        <v>466</v>
      </c>
      <c r="D150" s="10" t="s">
        <v>467</v>
      </c>
      <c r="E150" s="11" t="s">
        <v>220</v>
      </c>
      <c r="F150" s="12">
        <v>2989774</v>
      </c>
      <c r="G150" s="12">
        <f t="shared" ref="G150:G157" si="7">F150*0.8</f>
        <v>2391819.2000000002</v>
      </c>
      <c r="H150" s="10" t="s">
        <v>207</v>
      </c>
      <c r="I150" s="11" t="s">
        <v>208</v>
      </c>
      <c r="J150" s="13">
        <v>386.7</v>
      </c>
      <c r="K150" s="12">
        <v>40943147</v>
      </c>
      <c r="L150" s="14">
        <f>MIN(K150,MAX(0,SUM(G150:G151)-0))/SUM(G150:G151)</f>
        <v>1</v>
      </c>
    </row>
    <row r="151" spans="1:12" x14ac:dyDescent="0.25">
      <c r="A151" s="3"/>
      <c r="B151" s="4"/>
      <c r="C151" s="5"/>
      <c r="D151" s="4" t="s">
        <v>468</v>
      </c>
      <c r="E151" s="5" t="s">
        <v>222</v>
      </c>
      <c r="F151" s="6">
        <v>2989774</v>
      </c>
      <c r="G151" s="6">
        <f t="shared" si="7"/>
        <v>2391819.2000000002</v>
      </c>
      <c r="H151" s="4"/>
      <c r="I151" s="5"/>
      <c r="J151" s="7"/>
      <c r="K151" s="6"/>
      <c r="L151" s="8"/>
    </row>
    <row r="152" spans="1:12" x14ac:dyDescent="0.25">
      <c r="A152" s="9">
        <v>73</v>
      </c>
      <c r="B152" s="10" t="s">
        <v>469</v>
      </c>
      <c r="C152" s="11" t="s">
        <v>470</v>
      </c>
      <c r="D152" s="10" t="s">
        <v>471</v>
      </c>
      <c r="E152" s="11" t="s">
        <v>472</v>
      </c>
      <c r="F152" s="12">
        <v>5640706</v>
      </c>
      <c r="G152" s="12">
        <f t="shared" si="7"/>
        <v>4512564.8</v>
      </c>
      <c r="H152" s="10" t="s">
        <v>247</v>
      </c>
      <c r="I152" s="11" t="s">
        <v>248</v>
      </c>
      <c r="J152" s="13">
        <v>332.9</v>
      </c>
      <c r="K152" s="12">
        <v>9476257</v>
      </c>
      <c r="L152" s="14">
        <f>MIN(K152,MAX(0,SUM(G152:G152)-0))/SUM(G152:G152)</f>
        <v>1</v>
      </c>
    </row>
    <row r="153" spans="1:12" x14ac:dyDescent="0.25">
      <c r="A153" s="9">
        <v>74</v>
      </c>
      <c r="B153" s="10" t="s">
        <v>473</v>
      </c>
      <c r="C153" s="11" t="s">
        <v>474</v>
      </c>
      <c r="D153" s="10" t="s">
        <v>475</v>
      </c>
      <c r="E153" s="11" t="s">
        <v>15</v>
      </c>
      <c r="F153" s="12">
        <v>5182274</v>
      </c>
      <c r="G153" s="12">
        <f t="shared" si="7"/>
        <v>4145819.2</v>
      </c>
      <c r="H153" s="10" t="s">
        <v>476</v>
      </c>
      <c r="I153" s="11" t="s">
        <v>477</v>
      </c>
      <c r="J153" s="13">
        <v>2.6</v>
      </c>
      <c r="K153" s="12">
        <v>5171769</v>
      </c>
      <c r="L153" s="14">
        <f>MIN(K153,MAX(0,SUM(G153:G153)-0))/SUM(G153:G153)</f>
        <v>1</v>
      </c>
    </row>
    <row r="154" spans="1:12" x14ac:dyDescent="0.25">
      <c r="A154" s="9">
        <v>75</v>
      </c>
      <c r="B154" s="10" t="s">
        <v>478</v>
      </c>
      <c r="C154" s="11" t="s">
        <v>479</v>
      </c>
      <c r="D154" s="10" t="s">
        <v>480</v>
      </c>
      <c r="E154" s="11" t="s">
        <v>481</v>
      </c>
      <c r="F154" s="12">
        <v>9467616</v>
      </c>
      <c r="G154" s="12">
        <f t="shared" si="7"/>
        <v>7574092.8000000007</v>
      </c>
      <c r="H154" s="10" t="s">
        <v>430</v>
      </c>
      <c r="I154" s="11" t="s">
        <v>431</v>
      </c>
      <c r="J154" s="13">
        <v>84.3</v>
      </c>
      <c r="K154" s="12">
        <v>9333213</v>
      </c>
      <c r="L154" s="14">
        <f>MIN(K154,MAX(0,SUM(G154:G154)-0))/SUM(G154:G154)</f>
        <v>1</v>
      </c>
    </row>
    <row r="155" spans="1:12" x14ac:dyDescent="0.25">
      <c r="A155" s="9">
        <v>76</v>
      </c>
      <c r="B155" s="10" t="s">
        <v>482</v>
      </c>
      <c r="C155" s="11" t="s">
        <v>483</v>
      </c>
      <c r="D155" s="10" t="s">
        <v>484</v>
      </c>
      <c r="E155" s="11" t="s">
        <v>90</v>
      </c>
      <c r="F155" s="12">
        <v>5830059</v>
      </c>
      <c r="G155" s="12">
        <f t="shared" si="7"/>
        <v>4664047.2</v>
      </c>
      <c r="H155" s="10" t="s">
        <v>485</v>
      </c>
      <c r="I155" s="11" t="s">
        <v>486</v>
      </c>
      <c r="J155" s="13">
        <v>5.2</v>
      </c>
      <c r="K155" s="12">
        <v>10428830</v>
      </c>
      <c r="L155" s="14">
        <f>MIN(K155,MAX(0,SUM(G155:G156)-0))/SUM(G155:G156)</f>
        <v>1</v>
      </c>
    </row>
    <row r="156" spans="1:12" x14ac:dyDescent="0.25">
      <c r="A156" s="3"/>
      <c r="B156" s="4"/>
      <c r="C156" s="5"/>
      <c r="D156" s="4" t="s">
        <v>487</v>
      </c>
      <c r="E156" s="5" t="s">
        <v>488</v>
      </c>
      <c r="F156" s="6">
        <v>6477843</v>
      </c>
      <c r="G156" s="6">
        <f t="shared" si="7"/>
        <v>5182274.4000000004</v>
      </c>
      <c r="H156" s="4"/>
      <c r="I156" s="5"/>
      <c r="J156" s="7"/>
      <c r="K156" s="6"/>
      <c r="L156" s="8"/>
    </row>
    <row r="157" spans="1:12" x14ac:dyDescent="0.25">
      <c r="A157" s="9">
        <v>77</v>
      </c>
      <c r="B157" s="10" t="s">
        <v>489</v>
      </c>
      <c r="C157" s="11" t="s">
        <v>490</v>
      </c>
      <c r="D157" s="10" t="s">
        <v>491</v>
      </c>
      <c r="E157" s="11" t="s">
        <v>492</v>
      </c>
      <c r="F157" s="12">
        <v>6178865</v>
      </c>
      <c r="G157" s="12">
        <f t="shared" si="7"/>
        <v>4943092</v>
      </c>
      <c r="H157" s="10" t="s">
        <v>493</v>
      </c>
      <c r="I157" s="11" t="s">
        <v>494</v>
      </c>
      <c r="J157" s="13">
        <v>1.5</v>
      </c>
      <c r="K157" s="12">
        <v>4334604</v>
      </c>
      <c r="L157" s="14">
        <f>MIN(K157,MAX(0,SUM(G157:G157)-0))/SUM(G157:G157)</f>
        <v>0.87690134029469813</v>
      </c>
    </row>
    <row r="158" spans="1:12" x14ac:dyDescent="0.25">
      <c r="A158" s="3"/>
      <c r="B158" s="4"/>
      <c r="C158" s="5"/>
      <c r="D158" s="4"/>
      <c r="E158" s="5"/>
      <c r="F158" s="6"/>
      <c r="G158" s="6"/>
      <c r="H158" s="4" t="s">
        <v>495</v>
      </c>
      <c r="I158" s="5" t="s">
        <v>496</v>
      </c>
      <c r="J158" s="7">
        <v>3.7</v>
      </c>
      <c r="K158" s="6">
        <v>6428684</v>
      </c>
      <c r="L158" s="8">
        <f>MIN(K158,MAX(0,SUM(G157:G157)-SUM(K$157:K157)))/SUM(G157:G157)</f>
        <v>0.12309865970530186</v>
      </c>
    </row>
    <row r="159" spans="1:12" x14ac:dyDescent="0.25">
      <c r="A159" s="9">
        <v>78</v>
      </c>
      <c r="B159" s="10" t="s">
        <v>497</v>
      </c>
      <c r="C159" s="11" t="s">
        <v>498</v>
      </c>
      <c r="D159" s="10" t="s">
        <v>499</v>
      </c>
      <c r="E159" s="11" t="s">
        <v>500</v>
      </c>
      <c r="F159" s="12">
        <v>3986365</v>
      </c>
      <c r="G159" s="12">
        <f t="shared" ref="G159:G179" si="8">F159*0.8</f>
        <v>3189092</v>
      </c>
      <c r="H159" s="10" t="s">
        <v>103</v>
      </c>
      <c r="I159" s="11" t="s">
        <v>104</v>
      </c>
      <c r="J159" s="13">
        <v>2.6</v>
      </c>
      <c r="K159" s="12">
        <v>10836149</v>
      </c>
      <c r="L159" s="14">
        <f>MIN(K159,MAX(0,SUM(G159:G160)-0))/SUM(G159:G160)</f>
        <v>1</v>
      </c>
    </row>
    <row r="160" spans="1:12" x14ac:dyDescent="0.25">
      <c r="A160" s="3"/>
      <c r="B160" s="4"/>
      <c r="C160" s="5"/>
      <c r="D160" s="4" t="s">
        <v>501</v>
      </c>
      <c r="E160" s="5" t="s">
        <v>502</v>
      </c>
      <c r="F160" s="6">
        <v>9467616</v>
      </c>
      <c r="G160" s="6">
        <f t="shared" si="8"/>
        <v>7574092.8000000007</v>
      </c>
      <c r="H160" s="4"/>
      <c r="I160" s="5"/>
      <c r="J160" s="7"/>
      <c r="K160" s="6"/>
      <c r="L160" s="8"/>
    </row>
    <row r="161" spans="1:12" x14ac:dyDescent="0.25">
      <c r="A161" s="9">
        <v>79</v>
      </c>
      <c r="B161" s="10" t="s">
        <v>503</v>
      </c>
      <c r="C161" s="11" t="s">
        <v>504</v>
      </c>
      <c r="D161" s="10" t="s">
        <v>505</v>
      </c>
      <c r="E161" s="11" t="s">
        <v>90</v>
      </c>
      <c r="F161" s="12">
        <v>5281933</v>
      </c>
      <c r="G161" s="12">
        <f t="shared" si="8"/>
        <v>4225546.4000000004</v>
      </c>
      <c r="H161" s="10" t="s">
        <v>506</v>
      </c>
      <c r="I161" s="11" t="s">
        <v>507</v>
      </c>
      <c r="J161" s="13">
        <v>3.3</v>
      </c>
      <c r="K161" s="12">
        <v>8156763</v>
      </c>
      <c r="L161" s="14">
        <f>MIN(K161,MAX(0,SUM(G161:G162)-0))/SUM(G161:G162)</f>
        <v>0.92586690539297201</v>
      </c>
    </row>
    <row r="162" spans="1:12" x14ac:dyDescent="0.25">
      <c r="A162" s="3"/>
      <c r="B162" s="4"/>
      <c r="C162" s="5"/>
      <c r="D162" s="4" t="s">
        <v>508</v>
      </c>
      <c r="E162" s="5" t="s">
        <v>94</v>
      </c>
      <c r="F162" s="6">
        <v>5730399</v>
      </c>
      <c r="G162" s="6">
        <f t="shared" si="8"/>
        <v>4584319.2</v>
      </c>
      <c r="H162" s="4" t="s">
        <v>485</v>
      </c>
      <c r="I162" s="5" t="s">
        <v>486</v>
      </c>
      <c r="J162" s="7">
        <v>175.7</v>
      </c>
      <c r="K162" s="6">
        <v>10428830</v>
      </c>
      <c r="L162" s="8">
        <f>MIN(K162,MAX(0,SUM(G161:G162)-SUM(K$161:K161)))/SUM(G161:G162)</f>
        <v>7.413309460702798E-2</v>
      </c>
    </row>
    <row r="163" spans="1:12" x14ac:dyDescent="0.25">
      <c r="A163" s="9">
        <v>80</v>
      </c>
      <c r="B163" s="10" t="s">
        <v>509</v>
      </c>
      <c r="C163" s="11" t="s">
        <v>510</v>
      </c>
      <c r="D163" s="10" t="s">
        <v>511</v>
      </c>
      <c r="E163" s="11" t="s">
        <v>224</v>
      </c>
      <c r="F163" s="12">
        <v>4982956</v>
      </c>
      <c r="G163" s="12">
        <f t="shared" si="8"/>
        <v>3986364.8000000003</v>
      </c>
      <c r="H163" s="10" t="s">
        <v>115</v>
      </c>
      <c r="I163" s="11" t="s">
        <v>116</v>
      </c>
      <c r="J163" s="13">
        <v>3.8</v>
      </c>
      <c r="K163" s="12">
        <v>14003507</v>
      </c>
      <c r="L163" s="14">
        <f>MIN(K163,MAX(0,SUM(G163:G164)-0))/SUM(G163:G164)</f>
        <v>1</v>
      </c>
    </row>
    <row r="164" spans="1:12" x14ac:dyDescent="0.25">
      <c r="A164" s="3"/>
      <c r="B164" s="4"/>
      <c r="C164" s="5"/>
      <c r="D164" s="4" t="s">
        <v>512</v>
      </c>
      <c r="E164" s="5" t="s">
        <v>513</v>
      </c>
      <c r="F164" s="6">
        <v>5979547</v>
      </c>
      <c r="G164" s="6">
        <f t="shared" si="8"/>
        <v>4783637.6000000006</v>
      </c>
      <c r="H164" s="4"/>
      <c r="I164" s="5"/>
      <c r="J164" s="7"/>
      <c r="K164" s="6"/>
      <c r="L164" s="8"/>
    </row>
    <row r="165" spans="1:12" x14ac:dyDescent="0.25">
      <c r="A165" s="9">
        <v>81</v>
      </c>
      <c r="B165" s="10" t="s">
        <v>514</v>
      </c>
      <c r="C165" s="11" t="s">
        <v>515</v>
      </c>
      <c r="D165" s="10" t="s">
        <v>516</v>
      </c>
      <c r="E165" s="11" t="s">
        <v>517</v>
      </c>
      <c r="F165" s="12">
        <v>4484660</v>
      </c>
      <c r="G165" s="12">
        <f t="shared" si="8"/>
        <v>3587728</v>
      </c>
      <c r="H165" s="10" t="s">
        <v>177</v>
      </c>
      <c r="I165" s="11" t="s">
        <v>178</v>
      </c>
      <c r="J165" s="13">
        <v>5.9</v>
      </c>
      <c r="K165" s="12">
        <v>143826</v>
      </c>
      <c r="L165" s="14">
        <f>MIN(K165,MAX(0,SUM(G165:G166)-0))/SUM(G165:G166)</f>
        <v>1.7180709441240984E-2</v>
      </c>
    </row>
    <row r="166" spans="1:12" x14ac:dyDescent="0.25">
      <c r="A166" s="3"/>
      <c r="B166" s="4"/>
      <c r="C166" s="5"/>
      <c r="D166" s="4" t="s">
        <v>518</v>
      </c>
      <c r="E166" s="5" t="s">
        <v>519</v>
      </c>
      <c r="F166" s="6">
        <v>5979547</v>
      </c>
      <c r="G166" s="6">
        <f t="shared" si="8"/>
        <v>4783637.6000000006</v>
      </c>
      <c r="H166" s="4" t="s">
        <v>179</v>
      </c>
      <c r="I166" s="5" t="s">
        <v>180</v>
      </c>
      <c r="J166" s="7">
        <v>6.3</v>
      </c>
      <c r="K166" s="6">
        <v>37538991</v>
      </c>
      <c r="L166" s="8">
        <f>MIN(K166,MAX(0,SUM(G165:G166)-SUM(K$165:K165)))/SUM(G165:G166)</f>
        <v>0.98281929055875905</v>
      </c>
    </row>
    <row r="167" spans="1:12" x14ac:dyDescent="0.25">
      <c r="A167" s="9">
        <v>82</v>
      </c>
      <c r="B167" s="10" t="s">
        <v>520</v>
      </c>
      <c r="C167" s="11" t="s">
        <v>521</v>
      </c>
      <c r="D167" s="10" t="s">
        <v>522</v>
      </c>
      <c r="E167" s="11" t="s">
        <v>90</v>
      </c>
      <c r="F167" s="12">
        <v>2317075</v>
      </c>
      <c r="G167" s="12">
        <f t="shared" si="8"/>
        <v>1853660</v>
      </c>
      <c r="H167" s="10" t="s">
        <v>85</v>
      </c>
      <c r="I167" s="11" t="s">
        <v>86</v>
      </c>
      <c r="J167" s="13">
        <v>124.3</v>
      </c>
      <c r="K167" s="12">
        <v>15460532</v>
      </c>
      <c r="L167" s="14">
        <f>MIN(K167,MAX(0,SUM(G167:G168)-0))/SUM(G167:G168)</f>
        <v>1</v>
      </c>
    </row>
    <row r="168" spans="1:12" x14ac:dyDescent="0.25">
      <c r="A168" s="3"/>
      <c r="B168" s="4"/>
      <c r="C168" s="5"/>
      <c r="D168" s="4" t="s">
        <v>523</v>
      </c>
      <c r="E168" s="5" t="s">
        <v>94</v>
      </c>
      <c r="F168" s="6">
        <v>2317075</v>
      </c>
      <c r="G168" s="6">
        <f t="shared" si="8"/>
        <v>1853660</v>
      </c>
      <c r="H168" s="4"/>
      <c r="I168" s="5"/>
      <c r="J168" s="7"/>
      <c r="K168" s="6"/>
      <c r="L168" s="8"/>
    </row>
    <row r="169" spans="1:12" x14ac:dyDescent="0.25">
      <c r="A169" s="9">
        <v>83</v>
      </c>
      <c r="B169" s="10" t="s">
        <v>524</v>
      </c>
      <c r="C169" s="11" t="s">
        <v>525</v>
      </c>
      <c r="D169" s="10" t="s">
        <v>526</v>
      </c>
      <c r="E169" s="11" t="s">
        <v>15</v>
      </c>
      <c r="F169" s="12">
        <v>996591</v>
      </c>
      <c r="G169" s="12">
        <f t="shared" si="8"/>
        <v>797272.8</v>
      </c>
      <c r="H169" s="10" t="s">
        <v>527</v>
      </c>
      <c r="I169" s="11" t="s">
        <v>528</v>
      </c>
      <c r="J169" s="13">
        <v>13</v>
      </c>
      <c r="K169" s="12">
        <v>8038625</v>
      </c>
      <c r="L169" s="14">
        <f>MIN(K169,MAX(0,SUM(G169:G169)-0))/SUM(G169:G169)</f>
        <v>1</v>
      </c>
    </row>
    <row r="170" spans="1:12" x14ac:dyDescent="0.25">
      <c r="A170" s="9">
        <v>84</v>
      </c>
      <c r="B170" s="10" t="s">
        <v>529</v>
      </c>
      <c r="C170" s="11" t="s">
        <v>530</v>
      </c>
      <c r="D170" s="10" t="s">
        <v>531</v>
      </c>
      <c r="E170" s="11" t="s">
        <v>532</v>
      </c>
      <c r="F170" s="12">
        <v>3460763</v>
      </c>
      <c r="G170" s="12">
        <f t="shared" si="8"/>
        <v>2768610.4000000004</v>
      </c>
      <c r="H170" s="10" t="s">
        <v>177</v>
      </c>
      <c r="I170" s="11" t="s">
        <v>178</v>
      </c>
      <c r="J170" s="13">
        <v>210.8</v>
      </c>
      <c r="K170" s="12">
        <v>143826</v>
      </c>
      <c r="L170" s="14">
        <f>MIN(K170,MAX(0,SUM(G170:G173)-0))/SUM(G170:G173)</f>
        <v>1.2987201088314916E-2</v>
      </c>
    </row>
    <row r="171" spans="1:12" x14ac:dyDescent="0.25">
      <c r="A171" s="3"/>
      <c r="B171" s="4"/>
      <c r="C171" s="5"/>
      <c r="D171" s="4" t="s">
        <v>533</v>
      </c>
      <c r="E171" s="5" t="s">
        <v>534</v>
      </c>
      <c r="F171" s="6">
        <v>3460763</v>
      </c>
      <c r="G171" s="6">
        <f t="shared" si="8"/>
        <v>2768610.4000000004</v>
      </c>
      <c r="H171" s="4" t="s">
        <v>179</v>
      </c>
      <c r="I171" s="5" t="s">
        <v>180</v>
      </c>
      <c r="J171" s="7">
        <v>211.6</v>
      </c>
      <c r="K171" s="6">
        <v>37538991</v>
      </c>
      <c r="L171" s="8">
        <f>MIN(K171,MAX(0,SUM(G170:G173)-SUM(K$170:K170)))/SUM(G170:G173)</f>
        <v>0.98701279891168503</v>
      </c>
    </row>
    <row r="172" spans="1:12" x14ac:dyDescent="0.25">
      <c r="A172" s="3"/>
      <c r="B172" s="4"/>
      <c r="C172" s="5"/>
      <c r="D172" s="4" t="s">
        <v>535</v>
      </c>
      <c r="E172" s="5" t="s">
        <v>536</v>
      </c>
      <c r="F172" s="6">
        <v>3460763</v>
      </c>
      <c r="G172" s="6">
        <f t="shared" si="8"/>
        <v>2768610.4000000004</v>
      </c>
      <c r="H172" s="4"/>
      <c r="I172" s="5"/>
      <c r="J172" s="7"/>
      <c r="K172" s="6"/>
      <c r="L172" s="8"/>
    </row>
    <row r="173" spans="1:12" x14ac:dyDescent="0.25">
      <c r="A173" s="3"/>
      <c r="B173" s="4"/>
      <c r="C173" s="5"/>
      <c r="D173" s="4" t="s">
        <v>537</v>
      </c>
      <c r="E173" s="5" t="s">
        <v>538</v>
      </c>
      <c r="F173" s="6">
        <v>3460763</v>
      </c>
      <c r="G173" s="6">
        <f t="shared" si="8"/>
        <v>2768610.4000000004</v>
      </c>
      <c r="H173" s="4"/>
      <c r="I173" s="5"/>
      <c r="J173" s="7"/>
      <c r="K173" s="6"/>
      <c r="L173" s="8"/>
    </row>
    <row r="174" spans="1:12" x14ac:dyDescent="0.25">
      <c r="A174" s="9">
        <v>85</v>
      </c>
      <c r="B174" s="10" t="s">
        <v>539</v>
      </c>
      <c r="C174" s="11" t="s">
        <v>540</v>
      </c>
      <c r="D174" s="10" t="s">
        <v>541</v>
      </c>
      <c r="E174" s="11" t="s">
        <v>542</v>
      </c>
      <c r="F174" s="12">
        <v>10663526</v>
      </c>
      <c r="G174" s="12">
        <f t="shared" si="8"/>
        <v>8530820.8000000007</v>
      </c>
      <c r="H174" s="10" t="s">
        <v>543</v>
      </c>
      <c r="I174" s="11" t="s">
        <v>544</v>
      </c>
      <c r="J174" s="13">
        <v>2.2999999999999998</v>
      </c>
      <c r="K174" s="12">
        <v>12786436</v>
      </c>
      <c r="L174" s="14">
        <f>MIN(K174,MAX(0,SUM(G174:G174)-0))/SUM(G174:G174)</f>
        <v>1</v>
      </c>
    </row>
    <row r="175" spans="1:12" x14ac:dyDescent="0.25">
      <c r="A175" s="9">
        <v>86</v>
      </c>
      <c r="B175" s="10" t="s">
        <v>545</v>
      </c>
      <c r="C175" s="11" t="s">
        <v>546</v>
      </c>
      <c r="D175" s="10" t="s">
        <v>547</v>
      </c>
      <c r="E175" s="11" t="s">
        <v>548</v>
      </c>
      <c r="F175" s="12">
        <v>3089433</v>
      </c>
      <c r="G175" s="12">
        <f t="shared" si="8"/>
        <v>2471546.4</v>
      </c>
      <c r="H175" s="10" t="s">
        <v>495</v>
      </c>
      <c r="I175" s="11" t="s">
        <v>496</v>
      </c>
      <c r="J175" s="13">
        <v>2.7</v>
      </c>
      <c r="K175" s="12">
        <v>6428684</v>
      </c>
      <c r="L175" s="14">
        <f>MIN(K175,MAX(0,SUM(G175:G176)-0))/SUM(G175:G176)</f>
        <v>0.92682078127465306</v>
      </c>
    </row>
    <row r="176" spans="1:12" x14ac:dyDescent="0.25">
      <c r="A176" s="3"/>
      <c r="B176" s="4"/>
      <c r="C176" s="5"/>
      <c r="D176" s="4" t="s">
        <v>549</v>
      </c>
      <c r="E176" s="5" t="s">
        <v>550</v>
      </c>
      <c r="F176" s="6">
        <v>5580911</v>
      </c>
      <c r="G176" s="6">
        <f t="shared" si="8"/>
        <v>4464728.8</v>
      </c>
      <c r="H176" s="4" t="s">
        <v>493</v>
      </c>
      <c r="I176" s="5" t="s">
        <v>494</v>
      </c>
      <c r="J176" s="7">
        <v>4.8</v>
      </c>
      <c r="K176" s="6">
        <v>4334604</v>
      </c>
      <c r="L176" s="8">
        <f>MIN(K176,MAX(0,SUM(G175:G176)-SUM(K$175:K175)))/SUM(G175:G176)</f>
        <v>7.3179218725346898E-2</v>
      </c>
    </row>
    <row r="177" spans="1:12" x14ac:dyDescent="0.25">
      <c r="A177" s="9">
        <v>87</v>
      </c>
      <c r="B177" s="10" t="s">
        <v>551</v>
      </c>
      <c r="C177" s="11" t="s">
        <v>552</v>
      </c>
      <c r="D177" s="10" t="s">
        <v>553</v>
      </c>
      <c r="E177" s="11" t="s">
        <v>554</v>
      </c>
      <c r="F177" s="12">
        <v>2989774</v>
      </c>
      <c r="G177" s="12">
        <f t="shared" si="8"/>
        <v>2391819.2000000002</v>
      </c>
      <c r="H177" s="10" t="s">
        <v>213</v>
      </c>
      <c r="I177" s="11" t="s">
        <v>214</v>
      </c>
      <c r="J177" s="13">
        <v>375.4</v>
      </c>
      <c r="K177" s="12">
        <v>5709416</v>
      </c>
      <c r="L177" s="14">
        <f>MIN(K177,MAX(0,SUM(G177:G178)-0))/SUM(G177:G178)</f>
        <v>1</v>
      </c>
    </row>
    <row r="178" spans="1:12" x14ac:dyDescent="0.25">
      <c r="A178" s="3"/>
      <c r="B178" s="4"/>
      <c r="C178" s="5"/>
      <c r="D178" s="4" t="s">
        <v>555</v>
      </c>
      <c r="E178" s="5" t="s">
        <v>556</v>
      </c>
      <c r="F178" s="6">
        <v>2740626</v>
      </c>
      <c r="G178" s="6">
        <f t="shared" si="8"/>
        <v>2192500.8000000003</v>
      </c>
      <c r="H178" s="4"/>
      <c r="I178" s="5"/>
      <c r="J178" s="7"/>
      <c r="K178" s="6"/>
      <c r="L178" s="8"/>
    </row>
    <row r="179" spans="1:12" x14ac:dyDescent="0.25">
      <c r="A179" s="9">
        <v>88</v>
      </c>
      <c r="B179" s="10" t="s">
        <v>557</v>
      </c>
      <c r="C179" s="11" t="s">
        <v>558</v>
      </c>
      <c r="D179" s="10" t="s">
        <v>559</v>
      </c>
      <c r="E179" s="11" t="s">
        <v>560</v>
      </c>
      <c r="F179" s="12">
        <v>10962503</v>
      </c>
      <c r="G179" s="12">
        <f t="shared" si="8"/>
        <v>8770002.4000000004</v>
      </c>
      <c r="H179" s="10" t="s">
        <v>527</v>
      </c>
      <c r="I179" s="11" t="s">
        <v>528</v>
      </c>
      <c r="J179" s="13">
        <v>19.8</v>
      </c>
      <c r="K179" s="12">
        <v>8038625</v>
      </c>
      <c r="L179" s="14">
        <f>MIN(K179,MAX(0,SUM(G179:G179)-0))/SUM(G179:G179)</f>
        <v>0.91660465224046006</v>
      </c>
    </row>
    <row r="180" spans="1:12" x14ac:dyDescent="0.25">
      <c r="A180" s="3"/>
      <c r="B180" s="4"/>
      <c r="C180" s="5"/>
      <c r="D180" s="4"/>
      <c r="E180" s="5"/>
      <c r="F180" s="6"/>
      <c r="G180" s="6"/>
      <c r="H180" s="4" t="s">
        <v>351</v>
      </c>
      <c r="I180" s="5" t="s">
        <v>352</v>
      </c>
      <c r="J180" s="7">
        <v>180.3</v>
      </c>
      <c r="K180" s="6">
        <v>2116316</v>
      </c>
      <c r="L180" s="8">
        <f>MIN(K180,MAX(0,SUM(G179:G179)-SUM(K$179:K179)))/SUM(G179:G179)</f>
        <v>8.3395347759539995E-2</v>
      </c>
    </row>
    <row r="181" spans="1:12" x14ac:dyDescent="0.25">
      <c r="A181" s="9">
        <v>89</v>
      </c>
      <c r="B181" s="10" t="s">
        <v>561</v>
      </c>
      <c r="C181" s="11" t="s">
        <v>562</v>
      </c>
      <c r="D181" s="10" t="s">
        <v>563</v>
      </c>
      <c r="E181" s="11" t="s">
        <v>15</v>
      </c>
      <c r="F181" s="12">
        <v>10962503</v>
      </c>
      <c r="G181" s="12">
        <f>F181*0.8</f>
        <v>8770002.4000000004</v>
      </c>
      <c r="H181" s="10" t="s">
        <v>564</v>
      </c>
      <c r="I181" s="11" t="s">
        <v>565</v>
      </c>
      <c r="J181" s="13">
        <v>1.7</v>
      </c>
      <c r="K181" s="12">
        <v>10643793</v>
      </c>
      <c r="L181" s="14">
        <f>MIN(K181,MAX(0,SUM(G181:G181)-0))/SUM(G181:G181)</f>
        <v>1</v>
      </c>
    </row>
    <row r="182" spans="1:12" x14ac:dyDescent="0.25">
      <c r="A182" s="9">
        <v>90</v>
      </c>
      <c r="B182" s="10" t="s">
        <v>566</v>
      </c>
      <c r="C182" s="11" t="s">
        <v>567</v>
      </c>
      <c r="D182" s="10" t="s">
        <v>568</v>
      </c>
      <c r="E182" s="11" t="s">
        <v>569</v>
      </c>
      <c r="F182" s="12">
        <v>3388410</v>
      </c>
      <c r="G182" s="12">
        <f>F182*0.8</f>
        <v>2710728</v>
      </c>
      <c r="H182" s="10" t="s">
        <v>198</v>
      </c>
      <c r="I182" s="11" t="s">
        <v>199</v>
      </c>
      <c r="J182" s="13">
        <v>458.7</v>
      </c>
      <c r="K182" s="12">
        <v>5692623</v>
      </c>
      <c r="L182" s="14">
        <f>MIN(K182,MAX(0,SUM(G182:G182)-0))/SUM(G182:G182)</f>
        <v>1</v>
      </c>
    </row>
  </sheetData>
  <autoFilter ref="A1:L182" xr:uid="{00000000-0009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Trigilio</cp:lastModifiedBy>
  <dcterms:created xsi:type="dcterms:W3CDTF">2026-10-08T13:55:49Z</dcterms:created>
  <dcterms:modified xsi:type="dcterms:W3CDTF">2026-10-08T14:20:09Z</dcterms:modified>
</cp:coreProperties>
</file>